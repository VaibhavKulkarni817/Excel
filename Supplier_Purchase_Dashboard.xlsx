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IT Vedant\Excel\Project\"/>
    </mc:Choice>
  </mc:AlternateContent>
  <xr:revisionPtr revIDLastSave="0" documentId="13_ncr:1_{6F3A5891-B435-4F01-8225-E8C7D9528E78}" xr6:coauthVersionLast="47" xr6:coauthVersionMax="47" xr10:uidLastSave="{00000000-0000-0000-0000-000000000000}"/>
  <bookViews>
    <workbookView xWindow="-110" yWindow="-110" windowWidth="19420" windowHeight="10300" activeTab="4" xr2:uid="{00000000-000D-0000-FFFF-FFFF00000000}"/>
  </bookViews>
  <sheets>
    <sheet name="Purchase Orders" sheetId="1" r:id="rId1"/>
    <sheet name="Suppliers" sheetId="2" r:id="rId2"/>
    <sheet name="Sheet3" sheetId="5" r:id="rId3"/>
    <sheet name="Pivot Table" sheetId="3" r:id="rId4"/>
    <sheet name="Dashboard" sheetId="4" r:id="rId5"/>
  </sheets>
  <definedNames>
    <definedName name="_xlcn.WorksheetConnection_Supplier_Purchase_Dashboard.xlsxTable11" hidden="1">Table1[]</definedName>
    <definedName name="_xlcn.WorksheetConnection_Supplier_Purchase_Dashboard.xlsxTable21" hidden="1">Table2[]</definedName>
    <definedName name="Slicer_Date">#N/A</definedName>
    <definedName name="Slicer_Product">#N/A</definedName>
    <definedName name="Slicer_Supplier">#N/A</definedName>
  </definedNames>
  <calcPr calcId="191029"/>
  <pivotCaches>
    <pivotCache cacheId="2" r:id="rId6"/>
    <pivotCache cacheId="5" r:id="rId7"/>
    <pivotCache cacheId="8" r:id="rId8"/>
    <pivotCache cacheId="12" r:id="rId9"/>
    <pivotCache cacheId="15" r:id="rId10"/>
    <pivotCache cacheId="28"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upplier_Purchase_Dashboard.xlsx!Table1"/>
          <x15:modelTable id="Table2" name="Table2" connection="WorksheetConnection_Supplier_Purchase_Dashboard.xlsx!Table2"/>
        </x15:modelTables>
        <x15:modelRelationships>
          <x15:modelRelationship fromTable="Table2" fromColumn="Location" toTable="Table1" toColumn="Purchase Amount"/>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F03B62-52C5-4DD8-A676-9D5280D80F7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2352D49-F1D5-43F6-BA73-C60C039AEE7B}" name="WorksheetConnection_Supplier_Purchase_Dashboard.xlsx!Table1" type="102" refreshedVersion="8" minRefreshableVersion="5">
    <extLst>
      <ext xmlns:x15="http://schemas.microsoft.com/office/spreadsheetml/2010/11/main" uri="{DE250136-89BD-433C-8126-D09CA5730AF9}">
        <x15:connection id="Table1">
          <x15:rangePr sourceName="_xlcn.WorksheetConnection_Supplier_Purchase_Dashboard.xlsxTable11"/>
        </x15:connection>
      </ext>
    </extLst>
  </connection>
  <connection id="3" xr16:uid="{84C21691-EF6E-4F35-89A9-A25C05BD35B8}" name="WorksheetConnection_Supplier_Purchase_Dashboard.xlsx!Table2" type="102" refreshedVersion="8" minRefreshableVersion="5">
    <extLst>
      <ext xmlns:x15="http://schemas.microsoft.com/office/spreadsheetml/2010/11/main" uri="{DE250136-89BD-433C-8126-D09CA5730AF9}">
        <x15:connection id="Table2">
          <x15:rangePr sourceName="_xlcn.WorksheetConnection_Supplier_Purchase_Dashboard.xlsxTable21"/>
        </x15:connection>
      </ext>
    </extLst>
  </connection>
</connections>
</file>

<file path=xl/sharedStrings.xml><?xml version="1.0" encoding="utf-8"?>
<sst xmlns="http://schemas.openxmlformats.org/spreadsheetml/2006/main" count="511" uniqueCount="172">
  <si>
    <t>PO ID</t>
  </si>
  <si>
    <t>Date</t>
  </si>
  <si>
    <t>Supplier</t>
  </si>
  <si>
    <t>Product</t>
  </si>
  <si>
    <t>Quantity Purchased</t>
  </si>
  <si>
    <t>Unit Price</t>
  </si>
  <si>
    <t>Purchase Amount</t>
  </si>
  <si>
    <t>PO001</t>
  </si>
  <si>
    <t>Delta Wholesalers</t>
  </si>
  <si>
    <t>Product 14</t>
  </si>
  <si>
    <t>PO002</t>
  </si>
  <si>
    <t>Beta Supplies</t>
  </si>
  <si>
    <t>Product 3</t>
  </si>
  <si>
    <t>PO003</t>
  </si>
  <si>
    <t>Gamma Distributors</t>
  </si>
  <si>
    <t>Product 12</t>
  </si>
  <si>
    <t>PO004</t>
  </si>
  <si>
    <t>Alpha Traders</t>
  </si>
  <si>
    <t>Product 9</t>
  </si>
  <si>
    <t>PO005</t>
  </si>
  <si>
    <t>Product 8</t>
  </si>
  <si>
    <t>PO006</t>
  </si>
  <si>
    <t>Epsilon Imports</t>
  </si>
  <si>
    <t>PO007</t>
  </si>
  <si>
    <t>PO008</t>
  </si>
  <si>
    <t>Product 6</t>
  </si>
  <si>
    <t>PO009</t>
  </si>
  <si>
    <t>Product 2</t>
  </si>
  <si>
    <t>PO010</t>
  </si>
  <si>
    <t>PO011</t>
  </si>
  <si>
    <t>PO012</t>
  </si>
  <si>
    <t>PO013</t>
  </si>
  <si>
    <t>PO014</t>
  </si>
  <si>
    <t>Product 13</t>
  </si>
  <si>
    <t>PO015</t>
  </si>
  <si>
    <t>PO016</t>
  </si>
  <si>
    <t>Product 4</t>
  </si>
  <si>
    <t>PO017</t>
  </si>
  <si>
    <t>PO018</t>
  </si>
  <si>
    <t>PO019</t>
  </si>
  <si>
    <t>Product 1</t>
  </si>
  <si>
    <t>PO020</t>
  </si>
  <si>
    <t>PO021</t>
  </si>
  <si>
    <t>PO022</t>
  </si>
  <si>
    <t>Product 7</t>
  </si>
  <si>
    <t>PO023</t>
  </si>
  <si>
    <t>PO024</t>
  </si>
  <si>
    <t>Product 11</t>
  </si>
  <si>
    <t>PO025</t>
  </si>
  <si>
    <t>PO026</t>
  </si>
  <si>
    <t>Product 5</t>
  </si>
  <si>
    <t>PO027</t>
  </si>
  <si>
    <t>PO028</t>
  </si>
  <si>
    <t>PO029</t>
  </si>
  <si>
    <t>PO030</t>
  </si>
  <si>
    <t>PO031</t>
  </si>
  <si>
    <t>PO032</t>
  </si>
  <si>
    <t>PO033</t>
  </si>
  <si>
    <t>PO034</t>
  </si>
  <si>
    <t>Product 10</t>
  </si>
  <si>
    <t>PO035</t>
  </si>
  <si>
    <t>PO036</t>
  </si>
  <si>
    <t>PO037</t>
  </si>
  <si>
    <t>PO038</t>
  </si>
  <si>
    <t>PO039</t>
  </si>
  <si>
    <t>PO040</t>
  </si>
  <si>
    <t>PO041</t>
  </si>
  <si>
    <t>PO042</t>
  </si>
  <si>
    <t>PO043</t>
  </si>
  <si>
    <t>PO044</t>
  </si>
  <si>
    <t>PO045</t>
  </si>
  <si>
    <t>Product 15</t>
  </si>
  <si>
    <t>PO046</t>
  </si>
  <si>
    <t>PO047</t>
  </si>
  <si>
    <t>PO048</t>
  </si>
  <si>
    <t>PO049</t>
  </si>
  <si>
    <t>PO050</t>
  </si>
  <si>
    <t>PO051</t>
  </si>
  <si>
    <t>PO052</t>
  </si>
  <si>
    <t>PO053</t>
  </si>
  <si>
    <t>PO054</t>
  </si>
  <si>
    <t>PO055</t>
  </si>
  <si>
    <t>PO056</t>
  </si>
  <si>
    <t>PO057</t>
  </si>
  <si>
    <t>PO058</t>
  </si>
  <si>
    <t>PO059</t>
  </si>
  <si>
    <t>PO060</t>
  </si>
  <si>
    <t>PO061</t>
  </si>
  <si>
    <t>PO062</t>
  </si>
  <si>
    <t>PO063</t>
  </si>
  <si>
    <t>PO064</t>
  </si>
  <si>
    <t>PO065</t>
  </si>
  <si>
    <t>PO066</t>
  </si>
  <si>
    <t>PO067</t>
  </si>
  <si>
    <t>PO068</t>
  </si>
  <si>
    <t>PO069</t>
  </si>
  <si>
    <t>PO070</t>
  </si>
  <si>
    <t>PO071</t>
  </si>
  <si>
    <t>PO072</t>
  </si>
  <si>
    <t>PO073</t>
  </si>
  <si>
    <t>PO074</t>
  </si>
  <si>
    <t>PO075</t>
  </si>
  <si>
    <t>PO076</t>
  </si>
  <si>
    <t>PO077</t>
  </si>
  <si>
    <t>PO078</t>
  </si>
  <si>
    <t>PO079</t>
  </si>
  <si>
    <t>PO080</t>
  </si>
  <si>
    <t>PO081</t>
  </si>
  <si>
    <t>PO082</t>
  </si>
  <si>
    <t>PO083</t>
  </si>
  <si>
    <t>PO084</t>
  </si>
  <si>
    <t>PO085</t>
  </si>
  <si>
    <t>PO086</t>
  </si>
  <si>
    <t>PO087</t>
  </si>
  <si>
    <t>PO088</t>
  </si>
  <si>
    <t>PO089</t>
  </si>
  <si>
    <t>PO090</t>
  </si>
  <si>
    <t>PO091</t>
  </si>
  <si>
    <t>PO092</t>
  </si>
  <si>
    <t>PO093</t>
  </si>
  <si>
    <t>PO094</t>
  </si>
  <si>
    <t>PO095</t>
  </si>
  <si>
    <t>PO096</t>
  </si>
  <si>
    <t>PO097</t>
  </si>
  <si>
    <t>PO098</t>
  </si>
  <si>
    <t>PO099</t>
  </si>
  <si>
    <t>PO100</t>
  </si>
  <si>
    <t>Contact Person</t>
  </si>
  <si>
    <t>Phone</t>
  </si>
  <si>
    <t>Email</t>
  </si>
  <si>
    <t>Location</t>
  </si>
  <si>
    <t>Contact_Alpha</t>
  </si>
  <si>
    <t>+91-7415758564</t>
  </si>
  <si>
    <t>alpha@mail.com</t>
  </si>
  <si>
    <t>Chennai</t>
  </si>
  <si>
    <t>Contact_Beta</t>
  </si>
  <si>
    <t>+91-9361358749</t>
  </si>
  <si>
    <t>beta@mail.com</t>
  </si>
  <si>
    <t>Contact_Gamma</t>
  </si>
  <si>
    <t>+91-7991485854</t>
  </si>
  <si>
    <t>gamma@mail.com</t>
  </si>
  <si>
    <t>Delhi</t>
  </si>
  <si>
    <t>Contact_Delta</t>
  </si>
  <si>
    <t>+91-7845033738</t>
  </si>
  <si>
    <t>delta@mail.com</t>
  </si>
  <si>
    <t>Bangalore</t>
  </si>
  <si>
    <t>Contact_Epsilon</t>
  </si>
  <si>
    <t>+91-9203487013</t>
  </si>
  <si>
    <t>epsilon@mail.com</t>
  </si>
  <si>
    <t>Sum of Purchase Amount</t>
  </si>
  <si>
    <t>Sum of Quantity Purchased</t>
  </si>
  <si>
    <t>Average of Purchase Amount</t>
  </si>
  <si>
    <t>Row Labels</t>
  </si>
  <si>
    <t>Grand Total</t>
  </si>
  <si>
    <t>Count of PO ID</t>
  </si>
  <si>
    <t>Sum of Unit Price</t>
  </si>
  <si>
    <t>Average of Unit Price</t>
  </si>
  <si>
    <t>2023</t>
  </si>
  <si>
    <t>2024</t>
  </si>
  <si>
    <t>Jan</t>
  </si>
  <si>
    <t>Feb</t>
  </si>
  <si>
    <t>Mar</t>
  </si>
  <si>
    <t>Apr</t>
  </si>
  <si>
    <t>May</t>
  </si>
  <si>
    <t>Jun</t>
  </si>
  <si>
    <t>Jul</t>
  </si>
  <si>
    <t>Aug</t>
  </si>
  <si>
    <t>Sep</t>
  </si>
  <si>
    <t>Oct</t>
  </si>
  <si>
    <t>Nov</t>
  </si>
  <si>
    <t>Dec</t>
  </si>
  <si>
    <t>Sum of Quantity Purchased2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</si>
</sst>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 x14ac:knownFonts="1">
    <font>
      <sz val="11"/>
      <color theme="1"/>
      <name val="Trebuchet MS"/>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5">
    <xf numFmtId="0" fontId="0" fillId="0" borderId="0" xfId="0"/>
    <xf numFmtId="14" fontId="0" fillId="0" borderId="0" xfId="0" applyNumberFormat="1"/>
    <xf numFmtId="49" fontId="0" fillId="0" borderId="0" xfId="0" applyNumberFormat="1"/>
    <xf numFmtId="164" fontId="0" fillId="0" borderId="0" xfId="0" applyNumberFormat="1"/>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49" fontId="1" fillId="0" borderId="1" xfId="0" applyNumberFormat="1" applyFont="1" applyBorder="1" applyAlignment="1">
      <alignment horizontal="center" vertical="top"/>
    </xf>
    <xf numFmtId="164" fontId="1" fillId="0" borderId="1" xfId="0" applyNumberFormat="1" applyFont="1" applyBorder="1" applyAlignment="1">
      <alignment horizontal="center" vertical="top"/>
    </xf>
    <xf numFmtId="0" fontId="0" fillId="0" borderId="0" xfId="0" applyNumberFormat="1"/>
    <xf numFmtId="0" fontId="0" fillId="0" borderId="0" xfId="0" applyAlignment="1">
      <alignment horizontal="center"/>
    </xf>
    <xf numFmtId="0" fontId="0" fillId="0" borderId="0" xfId="0" applyNumberFormat="1" applyAlignment="1">
      <alignment horizontal="center"/>
    </xf>
    <xf numFmtId="164"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27">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quot;₹&quot;\ #,##0.00"/>
    </dxf>
    <dxf>
      <numFmt numFmtId="164" formatCode="&quot;₹&quot;\ #,##0.00"/>
    </dxf>
    <dxf>
      <numFmt numFmtId="30" formatCode="@"/>
    </dxf>
    <dxf>
      <numFmt numFmtId="19" formatCode="dd/mm/yyyy"/>
    </dxf>
    <dxf>
      <border outline="0">
        <top style="thin">
          <color auto="1"/>
        </top>
      </border>
    </dxf>
    <dxf>
      <border outline="0">
        <bottom style="thin">
          <color auto="1"/>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5.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[Supplier_Purchase_Dashboard.xlsx]Pivot 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Purchase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Table'!$E$11</c:f>
              <c:strCache>
                <c:ptCount val="1"/>
                <c:pt idx="0">
                  <c:v>Total</c:v>
                </c:pt>
              </c:strCache>
            </c:strRef>
          </c:tx>
          <c:spPr>
            <a:ln w="28575" cap="rnd">
              <a:solidFill>
                <a:schemeClr val="accent1"/>
              </a:solidFill>
              <a:round/>
            </a:ln>
            <a:effectLst/>
          </c:spPr>
          <c:marker>
            <c:symbol val="none"/>
          </c:marker>
          <c:cat>
            <c:multiLvlStrRef>
              <c:f>'Pivot Table'!$D$12:$D$34</c:f>
              <c:multiLvlStrCache>
                <c:ptCount val="2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lvl>
                <c:lvl>
                  <c:pt idx="0">
                    <c:v>2023</c:v>
                  </c:pt>
                  <c:pt idx="12">
                    <c:v>2024</c:v>
                  </c:pt>
                </c:lvl>
              </c:multiLvlStrCache>
            </c:multiLvlStrRef>
          </c:cat>
          <c:val>
            <c:numRef>
              <c:f>'Pivot Table'!$E$12:$E$34</c:f>
              <c:numCache>
                <c:formatCode>"₹"\ #,##0.00</c:formatCode>
                <c:ptCount val="20"/>
                <c:pt idx="0">
                  <c:v>16602.099999999999</c:v>
                </c:pt>
                <c:pt idx="1">
                  <c:v>32546.129999999997</c:v>
                </c:pt>
                <c:pt idx="2">
                  <c:v>29423.65</c:v>
                </c:pt>
                <c:pt idx="3">
                  <c:v>36104.699999999997</c:v>
                </c:pt>
                <c:pt idx="4">
                  <c:v>86345.23</c:v>
                </c:pt>
                <c:pt idx="5">
                  <c:v>182764.50999999998</c:v>
                </c:pt>
                <c:pt idx="6">
                  <c:v>59828.98</c:v>
                </c:pt>
                <c:pt idx="7">
                  <c:v>300822.07</c:v>
                </c:pt>
                <c:pt idx="8">
                  <c:v>116742.39999999999</c:v>
                </c:pt>
                <c:pt idx="9">
                  <c:v>85165.359999999986</c:v>
                </c:pt>
                <c:pt idx="10">
                  <c:v>108856.56000000001</c:v>
                </c:pt>
                <c:pt idx="11">
                  <c:v>71168.429999999993</c:v>
                </c:pt>
                <c:pt idx="12">
                  <c:v>80516.790000000008</c:v>
                </c:pt>
                <c:pt idx="13">
                  <c:v>67221.899999999994</c:v>
                </c:pt>
                <c:pt idx="14">
                  <c:v>80941.58</c:v>
                </c:pt>
                <c:pt idx="15">
                  <c:v>76427.11</c:v>
                </c:pt>
                <c:pt idx="16">
                  <c:v>49731</c:v>
                </c:pt>
                <c:pt idx="17">
                  <c:v>32594.26</c:v>
                </c:pt>
                <c:pt idx="18">
                  <c:v>24338.84</c:v>
                </c:pt>
                <c:pt idx="19">
                  <c:v>192831.17000000004</c:v>
                </c:pt>
              </c:numCache>
            </c:numRef>
          </c:val>
          <c:smooth val="0"/>
          <c:extLst>
            <c:ext xmlns:c16="http://schemas.microsoft.com/office/drawing/2014/chart" uri="{C3380CC4-5D6E-409C-BE32-E72D297353CC}">
              <c16:uniqueId val="{00000000-83FC-4221-9AB7-1FA3215A6DE4}"/>
            </c:ext>
          </c:extLst>
        </c:ser>
        <c:dLbls>
          <c:showLegendKey val="0"/>
          <c:showVal val="0"/>
          <c:showCatName val="0"/>
          <c:showSerName val="0"/>
          <c:showPercent val="0"/>
          <c:showBubbleSize val="0"/>
        </c:dLbls>
        <c:smooth val="0"/>
        <c:axId val="379210280"/>
        <c:axId val="379207760"/>
      </c:lineChart>
      <c:catAx>
        <c:axId val="379210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207760"/>
        <c:crosses val="autoZero"/>
        <c:auto val="1"/>
        <c:lblAlgn val="ctr"/>
        <c:lblOffset val="100"/>
        <c:noMultiLvlLbl val="0"/>
      </c:catAx>
      <c:valAx>
        <c:axId val="3792077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210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[Supplier_Purchase_Dashboard.xlsx]Pivot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Suppliers by Spend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Table'!$H$4</c:f>
              <c:strCache>
                <c:ptCount val="1"/>
                <c:pt idx="0">
                  <c:v>Total</c:v>
                </c:pt>
              </c:strCache>
            </c:strRef>
          </c:tx>
          <c:spPr>
            <a:solidFill>
              <a:schemeClr val="accent1"/>
            </a:solidFill>
            <a:ln>
              <a:noFill/>
            </a:ln>
            <a:effectLst/>
          </c:spPr>
          <c:invertIfNegative val="0"/>
          <c:cat>
            <c:strRef>
              <c:f>'Pivot Table'!$G$5:$G$10</c:f>
              <c:strCache>
                <c:ptCount val="5"/>
                <c:pt idx="0">
                  <c:v>Beta Supplies</c:v>
                </c:pt>
                <c:pt idx="1">
                  <c:v>Gamma Distributors</c:v>
                </c:pt>
                <c:pt idx="2">
                  <c:v>Delta Wholesalers</c:v>
                </c:pt>
                <c:pt idx="3">
                  <c:v>Epsilon Imports</c:v>
                </c:pt>
                <c:pt idx="4">
                  <c:v>Alpha Traders</c:v>
                </c:pt>
              </c:strCache>
            </c:strRef>
          </c:cat>
          <c:val>
            <c:numRef>
              <c:f>'Pivot Table'!$H$5:$H$10</c:f>
              <c:numCache>
                <c:formatCode>"₹"\ #,##0.00</c:formatCode>
                <c:ptCount val="5"/>
                <c:pt idx="0">
                  <c:v>495717.28999999992</c:v>
                </c:pt>
                <c:pt idx="1">
                  <c:v>383633.8000000001</c:v>
                </c:pt>
                <c:pt idx="2">
                  <c:v>354539.39</c:v>
                </c:pt>
                <c:pt idx="3">
                  <c:v>258336.10000000006</c:v>
                </c:pt>
                <c:pt idx="4">
                  <c:v>238746.19</c:v>
                </c:pt>
              </c:numCache>
            </c:numRef>
          </c:val>
          <c:extLst>
            <c:ext xmlns:c16="http://schemas.microsoft.com/office/drawing/2014/chart" uri="{C3380CC4-5D6E-409C-BE32-E72D297353CC}">
              <c16:uniqueId val="{00000000-2801-4CDB-BA33-0DD415CBC79D}"/>
            </c:ext>
          </c:extLst>
        </c:ser>
        <c:dLbls>
          <c:showLegendKey val="0"/>
          <c:showVal val="0"/>
          <c:showCatName val="0"/>
          <c:showSerName val="0"/>
          <c:showPercent val="0"/>
          <c:showBubbleSize val="0"/>
        </c:dLbls>
        <c:gapWidth val="219"/>
        <c:overlap val="-27"/>
        <c:axId val="121999416"/>
        <c:axId val="121998696"/>
      </c:barChart>
      <c:catAx>
        <c:axId val="121999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98696"/>
        <c:crosses val="autoZero"/>
        <c:auto val="1"/>
        <c:lblAlgn val="ctr"/>
        <c:lblOffset val="100"/>
        <c:noMultiLvlLbl val="0"/>
      </c:catAx>
      <c:valAx>
        <c:axId val="1219986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99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[Supplier_Purchase_Dashboard.xlsx]Pivot Table!PivotTable9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Cost Efficiency Insight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none"/>
        </c:marker>
      </c:pivotFmt>
      <c:pivotFmt>
        <c:idx val="39"/>
        <c:spPr>
          <a:ln w="28575" cap="rnd">
            <a:solidFill>
              <a:schemeClr val="accent1"/>
            </a:solidFill>
            <a:round/>
          </a:ln>
          <a:effectLst/>
        </c:spPr>
        <c:marker>
          <c:symbol val="none"/>
        </c:marker>
      </c:pivotFmt>
      <c:pivotFmt>
        <c:idx val="40"/>
        <c:spPr>
          <a:ln w="28575" cap="rnd">
            <a:solidFill>
              <a:schemeClr val="accent1"/>
            </a:solidFill>
            <a:round/>
          </a:ln>
          <a:effectLst/>
        </c:spPr>
        <c:marker>
          <c:symbol val="none"/>
        </c:marker>
      </c:pivotFmt>
      <c:pivotFmt>
        <c:idx val="41"/>
        <c:spPr>
          <a:ln w="28575" cap="rnd">
            <a:solidFill>
              <a:schemeClr val="accent1"/>
            </a:solidFill>
            <a:round/>
          </a:ln>
          <a:effectLst/>
        </c:spPr>
        <c:marker>
          <c:symbol val="none"/>
        </c:marker>
      </c:pivotFmt>
      <c:pivotFmt>
        <c:idx val="42"/>
        <c:spPr>
          <a:ln w="28575" cap="rnd">
            <a:solidFill>
              <a:schemeClr val="accent1"/>
            </a:solidFill>
            <a:round/>
          </a:ln>
          <a:effectLst/>
        </c:spPr>
        <c:marker>
          <c:symbol val="none"/>
        </c:marker>
      </c:pivotFmt>
    </c:pivotFmts>
    <c:plotArea>
      <c:layout/>
      <c:barChart>
        <c:barDir val="col"/>
        <c:grouping val="clustered"/>
        <c:varyColors val="0"/>
        <c:ser>
          <c:idx val="0"/>
          <c:order val="0"/>
          <c:tx>
            <c:strRef>
              <c:f>'Pivot Table'!$H$12</c:f>
              <c:strCache>
                <c:ptCount val="1"/>
                <c:pt idx="0">
                  <c:v>Sum of Unit Price</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E33D-492A-B8AC-EFBD4BF4DF03}"/>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E33D-492A-B8AC-EFBD4BF4DF03}"/>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E33D-492A-B8AC-EFBD4BF4DF03}"/>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E33D-492A-B8AC-EFBD4BF4DF03}"/>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E33D-492A-B8AC-EFBD4BF4DF03}"/>
              </c:ext>
            </c:extLst>
          </c:dPt>
          <c:cat>
            <c:strRef>
              <c:f>'Pivot Table'!$G$13:$G$18</c:f>
              <c:strCache>
                <c:ptCount val="5"/>
                <c:pt idx="0">
                  <c:v>Alpha Traders</c:v>
                </c:pt>
                <c:pt idx="1">
                  <c:v>Beta Supplies</c:v>
                </c:pt>
                <c:pt idx="2">
                  <c:v>Delta Wholesalers</c:v>
                </c:pt>
                <c:pt idx="3">
                  <c:v>Epsilon Imports</c:v>
                </c:pt>
                <c:pt idx="4">
                  <c:v>Gamma Distributors</c:v>
                </c:pt>
              </c:strCache>
            </c:strRef>
          </c:cat>
          <c:val>
            <c:numRef>
              <c:f>'Pivot Table'!$H$13:$H$18</c:f>
              <c:numCache>
                <c:formatCode>"₹"\ #,##0.00</c:formatCode>
                <c:ptCount val="5"/>
                <c:pt idx="0">
                  <c:v>4293</c:v>
                </c:pt>
                <c:pt idx="1">
                  <c:v>7491.1</c:v>
                </c:pt>
                <c:pt idx="2">
                  <c:v>6866.7099999999991</c:v>
                </c:pt>
                <c:pt idx="3">
                  <c:v>5341.19</c:v>
                </c:pt>
                <c:pt idx="4">
                  <c:v>7016.43</c:v>
                </c:pt>
              </c:numCache>
            </c:numRef>
          </c:val>
          <c:extLst>
            <c:ext xmlns:c16="http://schemas.microsoft.com/office/drawing/2014/chart" uri="{C3380CC4-5D6E-409C-BE32-E72D297353CC}">
              <c16:uniqueId val="{0000000A-E33D-492A-B8AC-EFBD4BF4DF03}"/>
            </c:ext>
          </c:extLst>
        </c:ser>
        <c:ser>
          <c:idx val="1"/>
          <c:order val="1"/>
          <c:tx>
            <c:strRef>
              <c:f>'Pivot Table'!$I$12</c:f>
              <c:strCache>
                <c:ptCount val="1"/>
                <c:pt idx="0">
                  <c:v>Sum of Quantity Purchased2</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C-E33D-492A-B8AC-EFBD4BF4DF03}"/>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E-E33D-492A-B8AC-EFBD4BF4DF03}"/>
              </c:ext>
            </c:extLst>
          </c:dPt>
          <c:dPt>
            <c:idx val="2"/>
            <c:invertIfNegative val="0"/>
            <c:bubble3D val="0"/>
            <c:spPr>
              <a:solidFill>
                <a:schemeClr val="accent2"/>
              </a:solidFill>
              <a:ln>
                <a:noFill/>
              </a:ln>
              <a:effectLst/>
            </c:spPr>
            <c:extLst>
              <c:ext xmlns:c16="http://schemas.microsoft.com/office/drawing/2014/chart" uri="{C3380CC4-5D6E-409C-BE32-E72D297353CC}">
                <c16:uniqueId val="{00000010-E33D-492A-B8AC-EFBD4BF4DF03}"/>
              </c:ext>
            </c:extLst>
          </c:dPt>
          <c:dPt>
            <c:idx val="3"/>
            <c:invertIfNegative val="0"/>
            <c:bubble3D val="0"/>
            <c:spPr>
              <a:solidFill>
                <a:schemeClr val="accent2"/>
              </a:solidFill>
              <a:ln>
                <a:noFill/>
              </a:ln>
              <a:effectLst/>
            </c:spPr>
            <c:extLst>
              <c:ext xmlns:c16="http://schemas.microsoft.com/office/drawing/2014/chart" uri="{C3380CC4-5D6E-409C-BE32-E72D297353CC}">
                <c16:uniqueId val="{00000012-E33D-492A-B8AC-EFBD4BF4DF03}"/>
              </c:ext>
            </c:extLst>
          </c:dPt>
          <c:dPt>
            <c:idx val="4"/>
            <c:invertIfNegative val="0"/>
            <c:bubble3D val="0"/>
            <c:spPr>
              <a:solidFill>
                <a:schemeClr val="accent2"/>
              </a:solidFill>
              <a:ln>
                <a:noFill/>
              </a:ln>
              <a:effectLst/>
            </c:spPr>
            <c:extLst>
              <c:ext xmlns:c16="http://schemas.microsoft.com/office/drawing/2014/chart" uri="{C3380CC4-5D6E-409C-BE32-E72D297353CC}">
                <c16:uniqueId val="{00000014-E33D-492A-B8AC-EFBD4BF4DF03}"/>
              </c:ext>
            </c:extLst>
          </c:dPt>
          <c:cat>
            <c:strRef>
              <c:f>'Pivot Table'!$G$13:$G$18</c:f>
              <c:strCache>
                <c:ptCount val="5"/>
                <c:pt idx="0">
                  <c:v>Alpha Traders</c:v>
                </c:pt>
                <c:pt idx="1">
                  <c:v>Beta Supplies</c:v>
                </c:pt>
                <c:pt idx="2">
                  <c:v>Delta Wholesalers</c:v>
                </c:pt>
                <c:pt idx="3">
                  <c:v>Epsilon Imports</c:v>
                </c:pt>
                <c:pt idx="4">
                  <c:v>Gamma Distributors</c:v>
                </c:pt>
              </c:strCache>
            </c:strRef>
          </c:cat>
          <c:val>
            <c:numRef>
              <c:f>'Pivot Table'!$I$13:$I$18</c:f>
              <c:numCache>
                <c:formatCode>General</c:formatCode>
                <c:ptCount val="5"/>
                <c:pt idx="0">
                  <c:v>812</c:v>
                </c:pt>
                <c:pt idx="1">
                  <c:v>1536</c:v>
                </c:pt>
                <c:pt idx="2">
                  <c:v>1039</c:v>
                </c:pt>
                <c:pt idx="3">
                  <c:v>935</c:v>
                </c:pt>
                <c:pt idx="4">
                  <c:v>1148</c:v>
                </c:pt>
              </c:numCache>
            </c:numRef>
          </c:val>
          <c:extLst>
            <c:ext xmlns:c16="http://schemas.microsoft.com/office/drawing/2014/chart" uri="{C3380CC4-5D6E-409C-BE32-E72D297353CC}">
              <c16:uniqueId val="{00000015-E33D-492A-B8AC-EFBD4BF4DF03}"/>
            </c:ext>
          </c:extLst>
        </c:ser>
        <c:dLbls>
          <c:showLegendKey val="0"/>
          <c:showVal val="0"/>
          <c:showCatName val="0"/>
          <c:showSerName val="0"/>
          <c:showPercent val="0"/>
          <c:showBubbleSize val="0"/>
        </c:dLbls>
        <c:gapWidth val="100"/>
        <c:axId val="384597672"/>
        <c:axId val="384597312"/>
      </c:barChart>
      <c:lineChart>
        <c:grouping val="standard"/>
        <c:varyColors val="0"/>
        <c:ser>
          <c:idx val="2"/>
          <c:order val="2"/>
          <c:tx>
            <c:strRef>
              <c:f>'Pivot Table'!$J$12</c:f>
              <c:strCache>
                <c:ptCount val="1"/>
                <c:pt idx="0">
                  <c:v>Sum of Quantity Purchased</c:v>
                </c:pt>
              </c:strCache>
            </c:strRef>
          </c:tx>
          <c:spPr>
            <a:ln w="28575" cap="rnd">
              <a:solidFill>
                <a:schemeClr val="accent3"/>
              </a:solidFill>
              <a:round/>
            </a:ln>
            <a:effectLst/>
          </c:spPr>
          <c:marker>
            <c:symbol val="none"/>
          </c:marker>
          <c:dPt>
            <c:idx val="0"/>
            <c:marker>
              <c:symbol val="none"/>
            </c:marker>
            <c:bubble3D val="0"/>
            <c:spPr>
              <a:ln w="28575" cap="rnd">
                <a:solidFill>
                  <a:schemeClr val="accent3"/>
                </a:solidFill>
                <a:round/>
              </a:ln>
              <a:effectLst/>
            </c:spPr>
            <c:extLst>
              <c:ext xmlns:c16="http://schemas.microsoft.com/office/drawing/2014/chart" uri="{C3380CC4-5D6E-409C-BE32-E72D297353CC}">
                <c16:uniqueId val="{00000017-E33D-492A-B8AC-EFBD4BF4DF03}"/>
              </c:ext>
            </c:extLst>
          </c:dPt>
          <c:dPt>
            <c:idx val="1"/>
            <c:marker>
              <c:symbol val="none"/>
            </c:marker>
            <c:bubble3D val="0"/>
            <c:spPr>
              <a:ln w="28575" cap="rnd">
                <a:solidFill>
                  <a:schemeClr val="accent3"/>
                </a:solidFill>
                <a:round/>
              </a:ln>
              <a:effectLst/>
            </c:spPr>
            <c:extLst>
              <c:ext xmlns:c16="http://schemas.microsoft.com/office/drawing/2014/chart" uri="{C3380CC4-5D6E-409C-BE32-E72D297353CC}">
                <c16:uniqueId val="{00000019-E33D-492A-B8AC-EFBD4BF4DF03}"/>
              </c:ext>
            </c:extLst>
          </c:dPt>
          <c:dPt>
            <c:idx val="2"/>
            <c:marker>
              <c:symbol val="none"/>
            </c:marker>
            <c:bubble3D val="0"/>
            <c:spPr>
              <a:ln w="28575" cap="rnd">
                <a:solidFill>
                  <a:schemeClr val="accent3"/>
                </a:solidFill>
                <a:round/>
              </a:ln>
              <a:effectLst/>
            </c:spPr>
            <c:extLst>
              <c:ext xmlns:c16="http://schemas.microsoft.com/office/drawing/2014/chart" uri="{C3380CC4-5D6E-409C-BE32-E72D297353CC}">
                <c16:uniqueId val="{0000001B-E33D-492A-B8AC-EFBD4BF4DF03}"/>
              </c:ext>
            </c:extLst>
          </c:dPt>
          <c:dPt>
            <c:idx val="3"/>
            <c:marker>
              <c:symbol val="none"/>
            </c:marker>
            <c:bubble3D val="0"/>
            <c:spPr>
              <a:ln w="28575" cap="rnd">
                <a:solidFill>
                  <a:schemeClr val="accent3"/>
                </a:solidFill>
                <a:round/>
              </a:ln>
              <a:effectLst/>
            </c:spPr>
            <c:extLst>
              <c:ext xmlns:c16="http://schemas.microsoft.com/office/drawing/2014/chart" uri="{C3380CC4-5D6E-409C-BE32-E72D297353CC}">
                <c16:uniqueId val="{0000001D-E33D-492A-B8AC-EFBD4BF4DF03}"/>
              </c:ext>
            </c:extLst>
          </c:dPt>
          <c:dPt>
            <c:idx val="4"/>
            <c:marker>
              <c:symbol val="none"/>
            </c:marker>
            <c:bubble3D val="0"/>
            <c:spPr>
              <a:ln w="28575" cap="rnd">
                <a:solidFill>
                  <a:schemeClr val="accent3"/>
                </a:solidFill>
                <a:round/>
              </a:ln>
              <a:effectLst/>
            </c:spPr>
            <c:extLst>
              <c:ext xmlns:c16="http://schemas.microsoft.com/office/drawing/2014/chart" uri="{C3380CC4-5D6E-409C-BE32-E72D297353CC}">
                <c16:uniqueId val="{0000001F-E33D-492A-B8AC-EFBD4BF4DF03}"/>
              </c:ext>
            </c:extLst>
          </c:dPt>
          <c:cat>
            <c:strRef>
              <c:f>'Pivot Table'!$G$13:$G$18</c:f>
              <c:strCache>
                <c:ptCount val="5"/>
                <c:pt idx="0">
                  <c:v>Alpha Traders</c:v>
                </c:pt>
                <c:pt idx="1">
                  <c:v>Beta Supplies</c:v>
                </c:pt>
                <c:pt idx="2">
                  <c:v>Delta Wholesalers</c:v>
                </c:pt>
                <c:pt idx="3">
                  <c:v>Epsilon Imports</c:v>
                </c:pt>
                <c:pt idx="4">
                  <c:v>Gamma Distributors</c:v>
                </c:pt>
              </c:strCache>
            </c:strRef>
          </c:cat>
          <c:val>
            <c:numRef>
              <c:f>'Pivot Table'!$J$13:$J$18</c:f>
              <c:numCache>
                <c:formatCode>General</c:formatCode>
                <c:ptCount val="5"/>
                <c:pt idx="0">
                  <c:v>812</c:v>
                </c:pt>
                <c:pt idx="1">
                  <c:v>1536</c:v>
                </c:pt>
                <c:pt idx="2">
                  <c:v>1039</c:v>
                </c:pt>
                <c:pt idx="3">
                  <c:v>935</c:v>
                </c:pt>
                <c:pt idx="4">
                  <c:v>1148</c:v>
                </c:pt>
              </c:numCache>
            </c:numRef>
          </c:val>
          <c:smooth val="0"/>
          <c:extLst>
            <c:ext xmlns:c16="http://schemas.microsoft.com/office/drawing/2014/chart" uri="{C3380CC4-5D6E-409C-BE32-E72D297353CC}">
              <c16:uniqueId val="{00000020-E33D-492A-B8AC-EFBD4BF4DF03}"/>
            </c:ext>
          </c:extLst>
        </c:ser>
        <c:dLbls>
          <c:showLegendKey val="0"/>
          <c:showVal val="0"/>
          <c:showCatName val="0"/>
          <c:showSerName val="0"/>
          <c:showPercent val="0"/>
          <c:showBubbleSize val="0"/>
        </c:dLbls>
        <c:marker val="1"/>
        <c:smooth val="0"/>
        <c:axId val="384597672"/>
        <c:axId val="384597312"/>
      </c:lineChart>
      <c:catAx>
        <c:axId val="3845976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597312"/>
        <c:auto val="1"/>
        <c:lblAlgn val="ctr"/>
        <c:lblOffset val="100"/>
        <c:noMultiLvlLbl val="0"/>
      </c:catAx>
      <c:valAx>
        <c:axId val="3845973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597672"/>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[Supplier_Purchase_Dashboard.xlsx]Pivot Table!PivotTable10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Product Wise Purchase Amount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Table'!$H$20</c:f>
              <c:strCache>
                <c:ptCount val="1"/>
                <c:pt idx="0">
                  <c:v>Total</c:v>
                </c:pt>
              </c:strCache>
            </c:strRef>
          </c:tx>
          <c:spPr>
            <a:solidFill>
              <a:schemeClr val="accent1"/>
            </a:solidFill>
            <a:ln>
              <a:noFill/>
            </a:ln>
            <a:effectLst/>
          </c:spPr>
          <c:invertIfNegative val="0"/>
          <c:cat>
            <c:strRef>
              <c:f>'Pivot Table'!$G$21:$G$36</c:f>
              <c:strCache>
                <c:ptCount val="15"/>
                <c:pt idx="0">
                  <c:v>Product 1</c:v>
                </c:pt>
                <c:pt idx="1">
                  <c:v>Product 10</c:v>
                </c:pt>
                <c:pt idx="2">
                  <c:v>Product 11</c:v>
                </c:pt>
                <c:pt idx="3">
                  <c:v>Product 12</c:v>
                </c:pt>
                <c:pt idx="4">
                  <c:v>Product 13</c:v>
                </c:pt>
                <c:pt idx="5">
                  <c:v>Product 14</c:v>
                </c:pt>
                <c:pt idx="6">
                  <c:v>Product 15</c:v>
                </c:pt>
                <c:pt idx="7">
                  <c:v>Product 2</c:v>
                </c:pt>
                <c:pt idx="8">
                  <c:v>Product 3</c:v>
                </c:pt>
                <c:pt idx="9">
                  <c:v>Product 4</c:v>
                </c:pt>
                <c:pt idx="10">
                  <c:v>Product 5</c:v>
                </c:pt>
                <c:pt idx="11">
                  <c:v>Product 6</c:v>
                </c:pt>
                <c:pt idx="12">
                  <c:v>Product 7</c:v>
                </c:pt>
                <c:pt idx="13">
                  <c:v>Product 8</c:v>
                </c:pt>
                <c:pt idx="14">
                  <c:v>Product 9</c:v>
                </c:pt>
              </c:strCache>
            </c:strRef>
          </c:cat>
          <c:val>
            <c:numRef>
              <c:f>'Pivot Table'!$H$21:$H$36</c:f>
              <c:numCache>
                <c:formatCode>"₹"\ #,##0.00</c:formatCode>
                <c:ptCount val="15"/>
                <c:pt idx="0">
                  <c:v>98955.82</c:v>
                </c:pt>
                <c:pt idx="1">
                  <c:v>151385.64000000001</c:v>
                </c:pt>
                <c:pt idx="2">
                  <c:v>151321.4</c:v>
                </c:pt>
                <c:pt idx="3">
                  <c:v>28106.42</c:v>
                </c:pt>
                <c:pt idx="4">
                  <c:v>159222.81</c:v>
                </c:pt>
                <c:pt idx="5">
                  <c:v>77749.390000000014</c:v>
                </c:pt>
                <c:pt idx="6">
                  <c:v>81433.459999999992</c:v>
                </c:pt>
                <c:pt idx="7">
                  <c:v>72549.81</c:v>
                </c:pt>
                <c:pt idx="8">
                  <c:v>106303.54</c:v>
                </c:pt>
                <c:pt idx="9">
                  <c:v>136376.46</c:v>
                </c:pt>
                <c:pt idx="10">
                  <c:v>76022.73</c:v>
                </c:pt>
                <c:pt idx="11">
                  <c:v>166052.12</c:v>
                </c:pt>
                <c:pt idx="12">
                  <c:v>152522.38999999998</c:v>
                </c:pt>
                <c:pt idx="13">
                  <c:v>90615.34</c:v>
                </c:pt>
                <c:pt idx="14">
                  <c:v>182355.44</c:v>
                </c:pt>
              </c:numCache>
            </c:numRef>
          </c:val>
          <c:extLst>
            <c:ext xmlns:c16="http://schemas.microsoft.com/office/drawing/2014/chart" uri="{C3380CC4-5D6E-409C-BE32-E72D297353CC}">
              <c16:uniqueId val="{00000000-8AB2-4464-8548-E120E7BA3CC3}"/>
            </c:ext>
          </c:extLst>
        </c:ser>
        <c:dLbls>
          <c:showLegendKey val="0"/>
          <c:showVal val="0"/>
          <c:showCatName val="0"/>
          <c:showSerName val="0"/>
          <c:showPercent val="0"/>
          <c:showBubbleSize val="0"/>
        </c:dLbls>
        <c:gapWidth val="219"/>
        <c:overlap val="-27"/>
        <c:axId val="384586512"/>
        <c:axId val="384586872"/>
      </c:barChart>
      <c:catAx>
        <c:axId val="38458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586872"/>
        <c:crosses val="autoZero"/>
        <c:auto val="1"/>
        <c:lblAlgn val="ctr"/>
        <c:lblOffset val="100"/>
        <c:noMultiLvlLbl val="0"/>
      </c:catAx>
      <c:valAx>
        <c:axId val="3845868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586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[Supplier_Purchase_Dashboard.xlsx]Sheet3!PivotTable12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Supplier Purchase Value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multiLvlStrRef>
              <c:f>Sheet3!$A$4:$A$109</c:f>
              <c:multiLvlStrCache>
                <c:ptCount val="100"/>
                <c:lvl>
                  <c:pt idx="0">
                    <c:v>PO004</c:v>
                  </c:pt>
                  <c:pt idx="1">
                    <c:v>PO007</c:v>
                  </c:pt>
                  <c:pt idx="2">
                    <c:v>PO025</c:v>
                  </c:pt>
                  <c:pt idx="3">
                    <c:v>PO031</c:v>
                  </c:pt>
                  <c:pt idx="4">
                    <c:v>PO033</c:v>
                  </c:pt>
                  <c:pt idx="5">
                    <c:v>PO034</c:v>
                  </c:pt>
                  <c:pt idx="6">
                    <c:v>PO058</c:v>
                  </c:pt>
                  <c:pt idx="7">
                    <c:v>PO061</c:v>
                  </c:pt>
                  <c:pt idx="8">
                    <c:v>PO080</c:v>
                  </c:pt>
                  <c:pt idx="9">
                    <c:v>PO083</c:v>
                  </c:pt>
                  <c:pt idx="10">
                    <c:v>PO087</c:v>
                  </c:pt>
                  <c:pt idx="11">
                    <c:v>PO088</c:v>
                  </c:pt>
                  <c:pt idx="12">
                    <c:v>PO089</c:v>
                  </c:pt>
                  <c:pt idx="13">
                    <c:v>PO096</c:v>
                  </c:pt>
                  <c:pt idx="14">
                    <c:v>PO098</c:v>
                  </c:pt>
                  <c:pt idx="15">
                    <c:v>PO002</c:v>
                  </c:pt>
                  <c:pt idx="16">
                    <c:v>PO008</c:v>
                  </c:pt>
                  <c:pt idx="17">
                    <c:v>PO011</c:v>
                  </c:pt>
                  <c:pt idx="18">
                    <c:v>PO012</c:v>
                  </c:pt>
                  <c:pt idx="19">
                    <c:v>PO029</c:v>
                  </c:pt>
                  <c:pt idx="20">
                    <c:v>PO038</c:v>
                  </c:pt>
                  <c:pt idx="21">
                    <c:v>PO042</c:v>
                  </c:pt>
                  <c:pt idx="22">
                    <c:v>PO043</c:v>
                  </c:pt>
                  <c:pt idx="23">
                    <c:v>PO045</c:v>
                  </c:pt>
                  <c:pt idx="24">
                    <c:v>PO051</c:v>
                  </c:pt>
                  <c:pt idx="25">
                    <c:v>PO055</c:v>
                  </c:pt>
                  <c:pt idx="26">
                    <c:v>PO056</c:v>
                  </c:pt>
                  <c:pt idx="27">
                    <c:v>PO057</c:v>
                  </c:pt>
                  <c:pt idx="28">
                    <c:v>PO060</c:v>
                  </c:pt>
                  <c:pt idx="29">
                    <c:v>PO062</c:v>
                  </c:pt>
                  <c:pt idx="30">
                    <c:v>PO064</c:v>
                  </c:pt>
                  <c:pt idx="31">
                    <c:v>PO066</c:v>
                  </c:pt>
                  <c:pt idx="32">
                    <c:v>PO070</c:v>
                  </c:pt>
                  <c:pt idx="33">
                    <c:v>PO073</c:v>
                  </c:pt>
                  <c:pt idx="34">
                    <c:v>PO075</c:v>
                  </c:pt>
                  <c:pt idx="35">
                    <c:v>PO077</c:v>
                  </c:pt>
                  <c:pt idx="36">
                    <c:v>PO081</c:v>
                  </c:pt>
                  <c:pt idx="37">
                    <c:v>PO099</c:v>
                  </c:pt>
                  <c:pt idx="38">
                    <c:v>PO100</c:v>
                  </c:pt>
                  <c:pt idx="39">
                    <c:v>PO001</c:v>
                  </c:pt>
                  <c:pt idx="40">
                    <c:v>PO010</c:v>
                  </c:pt>
                  <c:pt idx="41">
                    <c:v>PO013</c:v>
                  </c:pt>
                  <c:pt idx="42">
                    <c:v>PO016</c:v>
                  </c:pt>
                  <c:pt idx="43">
                    <c:v>PO020</c:v>
                  </c:pt>
                  <c:pt idx="44">
                    <c:v>PO021</c:v>
                  </c:pt>
                  <c:pt idx="45">
                    <c:v>PO028</c:v>
                  </c:pt>
                  <c:pt idx="46">
                    <c:v>PO030</c:v>
                  </c:pt>
                  <c:pt idx="47">
                    <c:v>PO032</c:v>
                  </c:pt>
                  <c:pt idx="48">
                    <c:v>PO036</c:v>
                  </c:pt>
                  <c:pt idx="49">
                    <c:v>PO046</c:v>
                  </c:pt>
                  <c:pt idx="50">
                    <c:v>PO049</c:v>
                  </c:pt>
                  <c:pt idx="51">
                    <c:v>PO050</c:v>
                  </c:pt>
                  <c:pt idx="52">
                    <c:v>PO069</c:v>
                  </c:pt>
                  <c:pt idx="53">
                    <c:v>PO074</c:v>
                  </c:pt>
                  <c:pt idx="54">
                    <c:v>PO079</c:v>
                  </c:pt>
                  <c:pt idx="55">
                    <c:v>PO082</c:v>
                  </c:pt>
                  <c:pt idx="56">
                    <c:v>PO084</c:v>
                  </c:pt>
                  <c:pt idx="57">
                    <c:v>PO086</c:v>
                  </c:pt>
                  <c:pt idx="58">
                    <c:v>PO090</c:v>
                  </c:pt>
                  <c:pt idx="59">
                    <c:v>PO095</c:v>
                  </c:pt>
                  <c:pt idx="60">
                    <c:v>PO006</c:v>
                  </c:pt>
                  <c:pt idx="61">
                    <c:v>PO014</c:v>
                  </c:pt>
                  <c:pt idx="62">
                    <c:v>PO018</c:v>
                  </c:pt>
                  <c:pt idx="63">
                    <c:v>PO022</c:v>
                  </c:pt>
                  <c:pt idx="64">
                    <c:v>PO024</c:v>
                  </c:pt>
                  <c:pt idx="65">
                    <c:v>PO039</c:v>
                  </c:pt>
                  <c:pt idx="66">
                    <c:v>PO041</c:v>
                  </c:pt>
                  <c:pt idx="67">
                    <c:v>PO059</c:v>
                  </c:pt>
                  <c:pt idx="68">
                    <c:v>PO063</c:v>
                  </c:pt>
                  <c:pt idx="69">
                    <c:v>PO065</c:v>
                  </c:pt>
                  <c:pt idx="70">
                    <c:v>PO067</c:v>
                  </c:pt>
                  <c:pt idx="71">
                    <c:v>PO068</c:v>
                  </c:pt>
                  <c:pt idx="72">
                    <c:v>PO071</c:v>
                  </c:pt>
                  <c:pt idx="73">
                    <c:v>PO076</c:v>
                  </c:pt>
                  <c:pt idx="74">
                    <c:v>PO078</c:v>
                  </c:pt>
                  <c:pt idx="75">
                    <c:v>PO091</c:v>
                  </c:pt>
                  <c:pt idx="76">
                    <c:v>PO093</c:v>
                  </c:pt>
                  <c:pt idx="77">
                    <c:v>PO094</c:v>
                  </c:pt>
                  <c:pt idx="78">
                    <c:v>PO003</c:v>
                  </c:pt>
                  <c:pt idx="79">
                    <c:v>PO005</c:v>
                  </c:pt>
                  <c:pt idx="80">
                    <c:v>PO009</c:v>
                  </c:pt>
                  <c:pt idx="81">
                    <c:v>PO015</c:v>
                  </c:pt>
                  <c:pt idx="82">
                    <c:v>PO017</c:v>
                  </c:pt>
                  <c:pt idx="83">
                    <c:v>PO019</c:v>
                  </c:pt>
                  <c:pt idx="84">
                    <c:v>PO023</c:v>
                  </c:pt>
                  <c:pt idx="85">
                    <c:v>PO026</c:v>
                  </c:pt>
                  <c:pt idx="86">
                    <c:v>PO027</c:v>
                  </c:pt>
                  <c:pt idx="87">
                    <c:v>PO035</c:v>
                  </c:pt>
                  <c:pt idx="88">
                    <c:v>PO037</c:v>
                  </c:pt>
                  <c:pt idx="89">
                    <c:v>PO040</c:v>
                  </c:pt>
                  <c:pt idx="90">
                    <c:v>PO044</c:v>
                  </c:pt>
                  <c:pt idx="91">
                    <c:v>PO047</c:v>
                  </c:pt>
                  <c:pt idx="92">
                    <c:v>PO048</c:v>
                  </c:pt>
                  <c:pt idx="93">
                    <c:v>PO052</c:v>
                  </c:pt>
                  <c:pt idx="94">
                    <c:v>PO053</c:v>
                  </c:pt>
                  <c:pt idx="95">
                    <c:v>PO054</c:v>
                  </c:pt>
                  <c:pt idx="96">
                    <c:v>PO072</c:v>
                  </c:pt>
                  <c:pt idx="97">
                    <c:v>PO085</c:v>
                  </c:pt>
                  <c:pt idx="98">
                    <c:v>PO092</c:v>
                  </c:pt>
                  <c:pt idx="99">
                    <c:v>PO097</c:v>
                  </c:pt>
                </c:lvl>
                <c:lvl>
                  <c:pt idx="0">
                    <c:v>Alpha Traders</c:v>
                  </c:pt>
                  <c:pt idx="15">
                    <c:v>Beta Supplies</c:v>
                  </c:pt>
                  <c:pt idx="39">
                    <c:v>Delta Wholesalers</c:v>
                  </c:pt>
                  <c:pt idx="60">
                    <c:v>Epsilon Imports</c:v>
                  </c:pt>
                  <c:pt idx="78">
                    <c:v>Gamma Distributors</c:v>
                  </c:pt>
                </c:lvl>
              </c:multiLvlStrCache>
            </c:multiLvlStrRef>
          </c:cat>
          <c:val>
            <c:numRef>
              <c:f>Sheet3!$B$4:$B$109</c:f>
              <c:numCache>
                <c:formatCode>"₹"\ #,##0.00</c:formatCode>
                <c:ptCount val="100"/>
                <c:pt idx="0">
                  <c:v>14916.27</c:v>
                </c:pt>
                <c:pt idx="1">
                  <c:v>20008.95</c:v>
                </c:pt>
                <c:pt idx="2">
                  <c:v>21957.64</c:v>
                </c:pt>
                <c:pt idx="3">
                  <c:v>18820.400000000001</c:v>
                </c:pt>
                <c:pt idx="4">
                  <c:v>3298.68</c:v>
                </c:pt>
                <c:pt idx="5">
                  <c:v>20778.400000000001</c:v>
                </c:pt>
                <c:pt idx="6">
                  <c:v>32780.699999999997</c:v>
                </c:pt>
                <c:pt idx="7">
                  <c:v>31182.97</c:v>
                </c:pt>
                <c:pt idx="8">
                  <c:v>8718.82</c:v>
                </c:pt>
                <c:pt idx="9">
                  <c:v>1298.5</c:v>
                </c:pt>
                <c:pt idx="10">
                  <c:v>3775.1</c:v>
                </c:pt>
                <c:pt idx="11">
                  <c:v>41310.76</c:v>
                </c:pt>
                <c:pt idx="12">
                  <c:v>6670.9</c:v>
                </c:pt>
                <c:pt idx="13">
                  <c:v>9699.9</c:v>
                </c:pt>
                <c:pt idx="14">
                  <c:v>3528.2</c:v>
                </c:pt>
                <c:pt idx="15">
                  <c:v>33890.300000000003</c:v>
                </c:pt>
                <c:pt idx="16">
                  <c:v>23990.45</c:v>
                </c:pt>
                <c:pt idx="17">
                  <c:v>22616.67</c:v>
                </c:pt>
                <c:pt idx="18">
                  <c:v>9873.9699999999993</c:v>
                </c:pt>
                <c:pt idx="19">
                  <c:v>42286.17</c:v>
                </c:pt>
                <c:pt idx="20">
                  <c:v>9378.8799999999992</c:v>
                </c:pt>
                <c:pt idx="21">
                  <c:v>7041.75</c:v>
                </c:pt>
                <c:pt idx="22">
                  <c:v>2115.46</c:v>
                </c:pt>
                <c:pt idx="23">
                  <c:v>8776.0400000000009</c:v>
                </c:pt>
                <c:pt idx="24">
                  <c:v>2837.28</c:v>
                </c:pt>
                <c:pt idx="25">
                  <c:v>13647.06</c:v>
                </c:pt>
                <c:pt idx="26">
                  <c:v>32856.32</c:v>
                </c:pt>
                <c:pt idx="27">
                  <c:v>9576.84</c:v>
                </c:pt>
                <c:pt idx="28">
                  <c:v>29494.92</c:v>
                </c:pt>
                <c:pt idx="29">
                  <c:v>42858.81</c:v>
                </c:pt>
                <c:pt idx="30">
                  <c:v>20294.82</c:v>
                </c:pt>
                <c:pt idx="31">
                  <c:v>36297.599999999999</c:v>
                </c:pt>
                <c:pt idx="32">
                  <c:v>2163.3000000000002</c:v>
                </c:pt>
                <c:pt idx="33">
                  <c:v>16330.61</c:v>
                </c:pt>
                <c:pt idx="34">
                  <c:v>31677.42</c:v>
                </c:pt>
                <c:pt idx="35">
                  <c:v>33880.6</c:v>
                </c:pt>
                <c:pt idx="36">
                  <c:v>19140.810000000001</c:v>
                </c:pt>
                <c:pt idx="37">
                  <c:v>27692.21</c:v>
                </c:pt>
                <c:pt idx="38">
                  <c:v>16999</c:v>
                </c:pt>
                <c:pt idx="39">
                  <c:v>11102.28</c:v>
                </c:pt>
                <c:pt idx="40">
                  <c:v>7814.94</c:v>
                </c:pt>
                <c:pt idx="41">
                  <c:v>21448.83</c:v>
                </c:pt>
                <c:pt idx="42">
                  <c:v>11347.91</c:v>
                </c:pt>
                <c:pt idx="43">
                  <c:v>1404.06</c:v>
                </c:pt>
                <c:pt idx="44">
                  <c:v>16963.259999999998</c:v>
                </c:pt>
                <c:pt idx="45">
                  <c:v>2264.58</c:v>
                </c:pt>
                <c:pt idx="46">
                  <c:v>13484.48</c:v>
                </c:pt>
                <c:pt idx="47">
                  <c:v>15123.24</c:v>
                </c:pt>
                <c:pt idx="48">
                  <c:v>40495.199999999997</c:v>
                </c:pt>
                <c:pt idx="49">
                  <c:v>21752.48</c:v>
                </c:pt>
                <c:pt idx="50">
                  <c:v>1678.84</c:v>
                </c:pt>
                <c:pt idx="51">
                  <c:v>17559.36</c:v>
                </c:pt>
                <c:pt idx="52">
                  <c:v>41217.300000000003</c:v>
                </c:pt>
                <c:pt idx="53">
                  <c:v>16216.73</c:v>
                </c:pt>
                <c:pt idx="54">
                  <c:v>16618.259999999998</c:v>
                </c:pt>
                <c:pt idx="55">
                  <c:v>9776.7000000000007</c:v>
                </c:pt>
                <c:pt idx="56">
                  <c:v>19885.400000000001</c:v>
                </c:pt>
                <c:pt idx="57">
                  <c:v>13877.1</c:v>
                </c:pt>
                <c:pt idx="58">
                  <c:v>25587.3</c:v>
                </c:pt>
                <c:pt idx="59">
                  <c:v>28921.14</c:v>
                </c:pt>
                <c:pt idx="60">
                  <c:v>19117.73</c:v>
                </c:pt>
                <c:pt idx="61">
                  <c:v>3609.64</c:v>
                </c:pt>
                <c:pt idx="62">
                  <c:v>13235.95</c:v>
                </c:pt>
                <c:pt idx="63">
                  <c:v>25633.200000000001</c:v>
                </c:pt>
                <c:pt idx="64">
                  <c:v>5518.44</c:v>
                </c:pt>
                <c:pt idx="65">
                  <c:v>3891.31</c:v>
                </c:pt>
                <c:pt idx="66">
                  <c:v>21973.7</c:v>
                </c:pt>
                <c:pt idx="67">
                  <c:v>34492.32</c:v>
                </c:pt>
                <c:pt idx="68">
                  <c:v>6818.98</c:v>
                </c:pt>
                <c:pt idx="69">
                  <c:v>20199.75</c:v>
                </c:pt>
                <c:pt idx="70">
                  <c:v>4762.5</c:v>
                </c:pt>
                <c:pt idx="71">
                  <c:v>21278.7</c:v>
                </c:pt>
                <c:pt idx="72">
                  <c:v>9086.48</c:v>
                </c:pt>
                <c:pt idx="73">
                  <c:v>4509.45</c:v>
                </c:pt>
                <c:pt idx="74">
                  <c:v>25375.35</c:v>
                </c:pt>
                <c:pt idx="75">
                  <c:v>8522.5</c:v>
                </c:pt>
                <c:pt idx="76">
                  <c:v>18886.48</c:v>
                </c:pt>
                <c:pt idx="77">
                  <c:v>11423.62</c:v>
                </c:pt>
                <c:pt idx="78">
                  <c:v>2734.82</c:v>
                </c:pt>
                <c:pt idx="79">
                  <c:v>7185</c:v>
                </c:pt>
                <c:pt idx="80">
                  <c:v>14321.71</c:v>
                </c:pt>
                <c:pt idx="81">
                  <c:v>27044.32</c:v>
                </c:pt>
                <c:pt idx="82">
                  <c:v>8299.74</c:v>
                </c:pt>
                <c:pt idx="83">
                  <c:v>7513.32</c:v>
                </c:pt>
                <c:pt idx="84">
                  <c:v>5433.2</c:v>
                </c:pt>
                <c:pt idx="85">
                  <c:v>14867.97</c:v>
                </c:pt>
                <c:pt idx="86">
                  <c:v>2515.81</c:v>
                </c:pt>
                <c:pt idx="87">
                  <c:v>43105.5</c:v>
                </c:pt>
                <c:pt idx="88">
                  <c:v>9823.2800000000007</c:v>
                </c:pt>
                <c:pt idx="89">
                  <c:v>2421.54</c:v>
                </c:pt>
                <c:pt idx="90">
                  <c:v>31663.68</c:v>
                </c:pt>
                <c:pt idx="91">
                  <c:v>26313.42</c:v>
                </c:pt>
                <c:pt idx="92">
                  <c:v>15902.64</c:v>
                </c:pt>
                <c:pt idx="93">
                  <c:v>33525.230000000003</c:v>
                </c:pt>
                <c:pt idx="94">
                  <c:v>39293</c:v>
                </c:pt>
                <c:pt idx="95">
                  <c:v>8169.12</c:v>
                </c:pt>
                <c:pt idx="96">
                  <c:v>11556.94</c:v>
                </c:pt>
                <c:pt idx="97">
                  <c:v>27704.9</c:v>
                </c:pt>
                <c:pt idx="98">
                  <c:v>14953.26</c:v>
                </c:pt>
                <c:pt idx="99">
                  <c:v>29285.4</c:v>
                </c:pt>
              </c:numCache>
            </c:numRef>
          </c:val>
          <c:extLst>
            <c:ext xmlns:c16="http://schemas.microsoft.com/office/drawing/2014/chart" uri="{C3380CC4-5D6E-409C-BE32-E72D297353CC}">
              <c16:uniqueId val="{00000000-4B64-417B-9416-F11369F26010}"/>
            </c:ext>
          </c:extLst>
        </c:ser>
        <c:dLbls>
          <c:showLegendKey val="0"/>
          <c:showVal val="0"/>
          <c:showCatName val="0"/>
          <c:showSerName val="0"/>
          <c:showPercent val="0"/>
          <c:showBubbleSize val="0"/>
        </c:dLbls>
        <c:gapWidth val="219"/>
        <c:axId val="379213520"/>
        <c:axId val="379208120"/>
      </c:barChart>
      <c:catAx>
        <c:axId val="379213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208120"/>
        <c:crosses val="autoZero"/>
        <c:auto val="1"/>
        <c:lblAlgn val="ctr"/>
        <c:lblOffset val="100"/>
        <c:noMultiLvlLbl val="0"/>
      </c:catAx>
      <c:valAx>
        <c:axId val="379208120"/>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213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101601</xdr:colOff>
      <xdr:row>0</xdr:row>
      <xdr:rowOff>12699</xdr:rowOff>
    </xdr:from>
    <xdr:to>
      <xdr:col>24</xdr:col>
      <xdr:colOff>43793</xdr:colOff>
      <xdr:row>40</xdr:row>
      <xdr:rowOff>43793</xdr:rowOff>
    </xdr:to>
    <xdr:sp macro="" textlink="">
      <xdr:nvSpPr>
        <xdr:cNvPr id="2" name="Rectangle 1">
          <a:extLst>
            <a:ext uri="{FF2B5EF4-FFF2-40B4-BE49-F238E27FC236}">
              <a16:creationId xmlns:a16="http://schemas.microsoft.com/office/drawing/2014/main" id="{710772F1-B526-DA1A-829A-CBAC8A8B1A53}"/>
            </a:ext>
          </a:extLst>
        </xdr:cNvPr>
        <xdr:cNvSpPr/>
      </xdr:nvSpPr>
      <xdr:spPr>
        <a:xfrm>
          <a:off x="101601" y="12699"/>
          <a:ext cx="15707709" cy="747592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186468</xdr:colOff>
      <xdr:row>0</xdr:row>
      <xdr:rowOff>78113</xdr:rowOff>
    </xdr:from>
    <xdr:to>
      <xdr:col>23</xdr:col>
      <xdr:colOff>301685</xdr:colOff>
      <xdr:row>2</xdr:row>
      <xdr:rowOff>174766</xdr:rowOff>
    </xdr:to>
    <xdr:sp macro="" textlink="">
      <xdr:nvSpPr>
        <xdr:cNvPr id="3" name="Rectangle: Rounded Corners 2">
          <a:extLst>
            <a:ext uri="{FF2B5EF4-FFF2-40B4-BE49-F238E27FC236}">
              <a16:creationId xmlns:a16="http://schemas.microsoft.com/office/drawing/2014/main" id="{5931B2F5-BB5B-3234-B41C-80D3318BCD58}"/>
            </a:ext>
          </a:extLst>
        </xdr:cNvPr>
        <xdr:cNvSpPr/>
      </xdr:nvSpPr>
      <xdr:spPr>
        <a:xfrm>
          <a:off x="186468" y="78113"/>
          <a:ext cx="15261143" cy="472949"/>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IN" sz="2400" b="1"/>
            <a:t>Procurement Spend &amp; Supplier Performance Dashboard</a:t>
          </a:r>
          <a:endParaRPr lang="en-IN" sz="2400"/>
        </a:p>
      </xdr:txBody>
    </xdr:sp>
    <xdr:clientData/>
  </xdr:twoCellAnchor>
  <xdr:twoCellAnchor>
    <xdr:from>
      <xdr:col>0</xdr:col>
      <xdr:colOff>398831</xdr:colOff>
      <xdr:row>3</xdr:row>
      <xdr:rowOff>136853</xdr:rowOff>
    </xdr:from>
    <xdr:to>
      <xdr:col>3</xdr:col>
      <xdr:colOff>451748</xdr:colOff>
      <xdr:row>6</xdr:row>
      <xdr:rowOff>83936</xdr:rowOff>
    </xdr:to>
    <xdr:sp macro="" textlink="">
      <xdr:nvSpPr>
        <xdr:cNvPr id="4" name="Rectangle: Rounded Corners 3">
          <a:extLst>
            <a:ext uri="{FF2B5EF4-FFF2-40B4-BE49-F238E27FC236}">
              <a16:creationId xmlns:a16="http://schemas.microsoft.com/office/drawing/2014/main" id="{944DE04E-C54F-9DD4-7717-B1C60630471C}"/>
            </a:ext>
          </a:extLst>
        </xdr:cNvPr>
        <xdr:cNvSpPr/>
      </xdr:nvSpPr>
      <xdr:spPr>
        <a:xfrm>
          <a:off x="398831" y="695215"/>
          <a:ext cx="2023607" cy="5054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b="1"/>
            <a:t>Total Purchas</a:t>
          </a:r>
          <a:r>
            <a:rPr lang="en-IN" b="1" baseline="0"/>
            <a:t> </a:t>
          </a:r>
          <a:r>
            <a:rPr lang="en-IN" b="1"/>
            <a:t>Amount</a:t>
          </a:r>
        </a:p>
        <a:p>
          <a:pPr algn="ctr"/>
          <a:r>
            <a:rPr lang="en-IN" sz="1100" b="1" i="0" u="none" strike="noStrike">
              <a:solidFill>
                <a:schemeClr val="lt1"/>
              </a:solidFill>
              <a:effectLst/>
              <a:latin typeface="+mn-lt"/>
              <a:ea typeface="+mn-ea"/>
              <a:cs typeface="+mn-cs"/>
            </a:rPr>
            <a:t>1730972.77</a:t>
          </a:r>
          <a:r>
            <a:rPr lang="en-IN" b="1">
              <a:effectLst/>
            </a:rPr>
            <a:t> </a:t>
          </a:r>
          <a:endParaRPr lang="en-IN" sz="1100" b="1"/>
        </a:p>
      </xdr:txBody>
    </xdr:sp>
    <xdr:clientData/>
  </xdr:twoCellAnchor>
  <xdr:twoCellAnchor>
    <xdr:from>
      <xdr:col>3</xdr:col>
      <xdr:colOff>651327</xdr:colOff>
      <xdr:row>3</xdr:row>
      <xdr:rowOff>122943</xdr:rowOff>
    </xdr:from>
    <xdr:to>
      <xdr:col>7</xdr:col>
      <xdr:colOff>47348</xdr:colOff>
      <xdr:row>6</xdr:row>
      <xdr:rowOff>70026</xdr:rowOff>
    </xdr:to>
    <xdr:sp macro="" textlink="">
      <xdr:nvSpPr>
        <xdr:cNvPr id="5" name="Rectangle: Rounded Corners 4">
          <a:extLst>
            <a:ext uri="{FF2B5EF4-FFF2-40B4-BE49-F238E27FC236}">
              <a16:creationId xmlns:a16="http://schemas.microsoft.com/office/drawing/2014/main" id="{F7FC0D18-3416-4C3B-86B2-DC64DFE4ED10}"/>
            </a:ext>
          </a:extLst>
        </xdr:cNvPr>
        <xdr:cNvSpPr/>
      </xdr:nvSpPr>
      <xdr:spPr>
        <a:xfrm>
          <a:off x="2622017" y="681305"/>
          <a:ext cx="2023607" cy="5054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b="1"/>
            <a:t>Total Quantity Purchased</a:t>
          </a:r>
        </a:p>
        <a:p>
          <a:pPr algn="ctr"/>
          <a:r>
            <a:rPr lang="en-IN" sz="1100" b="1" i="0" u="none" strike="noStrike">
              <a:solidFill>
                <a:schemeClr val="lt1"/>
              </a:solidFill>
              <a:effectLst/>
              <a:latin typeface="+mn-lt"/>
              <a:ea typeface="+mn-ea"/>
              <a:cs typeface="+mn-cs"/>
            </a:rPr>
            <a:t>5470</a:t>
          </a:r>
          <a:r>
            <a:rPr lang="en-IN" b="1">
              <a:effectLst/>
            </a:rPr>
            <a:t> </a:t>
          </a:r>
          <a:endParaRPr lang="en-IN" sz="1100" b="1"/>
        </a:p>
      </xdr:txBody>
    </xdr:sp>
    <xdr:clientData/>
  </xdr:twoCellAnchor>
  <xdr:twoCellAnchor>
    <xdr:from>
      <xdr:col>7</xdr:col>
      <xdr:colOff>235199</xdr:colOff>
      <xdr:row>3</xdr:row>
      <xdr:rowOff>146049</xdr:rowOff>
    </xdr:from>
    <xdr:to>
      <xdr:col>10</xdr:col>
      <xdr:colOff>444446</xdr:colOff>
      <xdr:row>6</xdr:row>
      <xdr:rowOff>93132</xdr:rowOff>
    </xdr:to>
    <xdr:sp macro="" textlink="">
      <xdr:nvSpPr>
        <xdr:cNvPr id="6" name="Rectangle: Rounded Corners 5">
          <a:extLst>
            <a:ext uri="{FF2B5EF4-FFF2-40B4-BE49-F238E27FC236}">
              <a16:creationId xmlns:a16="http://schemas.microsoft.com/office/drawing/2014/main" id="{FECB7BE1-43B5-49BF-B1E9-7ABFD597B43F}"/>
            </a:ext>
          </a:extLst>
        </xdr:cNvPr>
        <xdr:cNvSpPr/>
      </xdr:nvSpPr>
      <xdr:spPr>
        <a:xfrm>
          <a:off x="4833475" y="704411"/>
          <a:ext cx="2179937" cy="5054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b="1"/>
            <a:t>Average Purchase per Order</a:t>
          </a:r>
        </a:p>
        <a:p>
          <a:pPr algn="ctr"/>
          <a:r>
            <a:rPr lang="en-IN" sz="1100" b="1" i="0" u="none" strike="noStrike">
              <a:solidFill>
                <a:schemeClr val="lt1"/>
              </a:solidFill>
              <a:effectLst/>
              <a:latin typeface="+mn-lt"/>
              <a:ea typeface="+mn-ea"/>
              <a:cs typeface="+mn-cs"/>
            </a:rPr>
            <a:t>₹ 17,309.73</a:t>
          </a:r>
          <a:r>
            <a:rPr lang="en-IN" b="1">
              <a:effectLst/>
            </a:rPr>
            <a:t> </a:t>
          </a:r>
          <a:endParaRPr lang="en-IN" sz="1100" b="1"/>
        </a:p>
      </xdr:txBody>
    </xdr:sp>
    <xdr:clientData/>
  </xdr:twoCellAnchor>
  <xdr:twoCellAnchor>
    <xdr:from>
      <xdr:col>10</xdr:col>
      <xdr:colOff>616993</xdr:colOff>
      <xdr:row>3</xdr:row>
      <xdr:rowOff>143870</xdr:rowOff>
    </xdr:from>
    <xdr:to>
      <xdr:col>14</xdr:col>
      <xdr:colOff>13014</xdr:colOff>
      <xdr:row>6</xdr:row>
      <xdr:rowOff>90953</xdr:rowOff>
    </xdr:to>
    <xdr:sp macro="" textlink="">
      <xdr:nvSpPr>
        <xdr:cNvPr id="7" name="Rectangle: Rounded Corners 6">
          <a:extLst>
            <a:ext uri="{FF2B5EF4-FFF2-40B4-BE49-F238E27FC236}">
              <a16:creationId xmlns:a16="http://schemas.microsoft.com/office/drawing/2014/main" id="{B912529D-65DD-4CB3-9AF5-50721A1CEA27}"/>
            </a:ext>
          </a:extLst>
        </xdr:cNvPr>
        <xdr:cNvSpPr/>
      </xdr:nvSpPr>
      <xdr:spPr>
        <a:xfrm>
          <a:off x="7185959" y="702232"/>
          <a:ext cx="2023607" cy="5054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b="1"/>
            <a:t>Total Purchase Orders</a:t>
          </a:r>
        </a:p>
        <a:p>
          <a:pPr algn="ctr"/>
          <a:r>
            <a:rPr lang="en-IN" sz="1100" b="1" i="0" u="none" strike="noStrike">
              <a:solidFill>
                <a:schemeClr val="lt1"/>
              </a:solidFill>
              <a:effectLst/>
              <a:latin typeface="+mn-lt"/>
              <a:ea typeface="+mn-ea"/>
              <a:cs typeface="+mn-cs"/>
            </a:rPr>
            <a:t>100</a:t>
          </a:r>
          <a:r>
            <a:rPr lang="en-IN" b="1">
              <a:effectLst/>
            </a:rPr>
            <a:t> </a:t>
          </a:r>
          <a:endParaRPr lang="en-IN" sz="1100" b="1"/>
        </a:p>
      </xdr:txBody>
    </xdr:sp>
    <xdr:clientData/>
  </xdr:twoCellAnchor>
  <xdr:twoCellAnchor>
    <xdr:from>
      <xdr:col>14</xdr:col>
      <xdr:colOff>159678</xdr:colOff>
      <xdr:row>3</xdr:row>
      <xdr:rowOff>129959</xdr:rowOff>
    </xdr:from>
    <xdr:to>
      <xdr:col>17</xdr:col>
      <xdr:colOff>212595</xdr:colOff>
      <xdr:row>6</xdr:row>
      <xdr:rowOff>77042</xdr:rowOff>
    </xdr:to>
    <xdr:sp macro="" textlink="">
      <xdr:nvSpPr>
        <xdr:cNvPr id="8" name="Rectangle: Rounded Corners 7">
          <a:extLst>
            <a:ext uri="{FF2B5EF4-FFF2-40B4-BE49-F238E27FC236}">
              <a16:creationId xmlns:a16="http://schemas.microsoft.com/office/drawing/2014/main" id="{5B24673C-8160-4D58-A045-A592E9A79F94}"/>
            </a:ext>
          </a:extLst>
        </xdr:cNvPr>
        <xdr:cNvSpPr/>
      </xdr:nvSpPr>
      <xdr:spPr>
        <a:xfrm>
          <a:off x="9356230" y="688321"/>
          <a:ext cx="2023606" cy="5054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b="1"/>
            <a:t>Avg Unit Price</a:t>
          </a:r>
        </a:p>
        <a:p>
          <a:pPr algn="ctr"/>
          <a:r>
            <a:rPr lang="en-IN" sz="1100" b="1" i="0" u="none" strike="noStrike">
              <a:solidFill>
                <a:schemeClr val="lt1"/>
              </a:solidFill>
              <a:effectLst/>
              <a:latin typeface="+mn-lt"/>
              <a:ea typeface="+mn-ea"/>
              <a:cs typeface="+mn-cs"/>
            </a:rPr>
            <a:t>310.0843</a:t>
          </a:r>
          <a:r>
            <a:rPr lang="en-IN" b="1">
              <a:effectLst/>
            </a:rPr>
            <a:t> </a:t>
          </a:r>
          <a:endParaRPr lang="en-IN" sz="1100" b="1"/>
        </a:p>
      </xdr:txBody>
    </xdr:sp>
    <xdr:clientData/>
  </xdr:twoCellAnchor>
  <xdr:twoCellAnchor>
    <xdr:from>
      <xdr:col>2</xdr:col>
      <xdr:colOff>416035</xdr:colOff>
      <xdr:row>7</xdr:row>
      <xdr:rowOff>72131</xdr:rowOff>
    </xdr:from>
    <xdr:to>
      <xdr:col>9</xdr:col>
      <xdr:colOff>514569</xdr:colOff>
      <xdr:row>22</xdr:row>
      <xdr:rowOff>32844</xdr:rowOff>
    </xdr:to>
    <xdr:graphicFrame macro="">
      <xdr:nvGraphicFramePr>
        <xdr:cNvPr id="9" name="Chart 8">
          <a:extLst>
            <a:ext uri="{FF2B5EF4-FFF2-40B4-BE49-F238E27FC236}">
              <a16:creationId xmlns:a16="http://schemas.microsoft.com/office/drawing/2014/main" id="{849E61F7-A8A8-4661-9E83-B909876CE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426983</xdr:colOff>
      <xdr:row>23</xdr:row>
      <xdr:rowOff>10947</xdr:rowOff>
    </xdr:from>
    <xdr:to>
      <xdr:col>9</xdr:col>
      <xdr:colOff>547413</xdr:colOff>
      <xdr:row>39</xdr:row>
      <xdr:rowOff>76638</xdr:rowOff>
    </xdr:to>
    <xdr:graphicFrame macro="">
      <xdr:nvGraphicFramePr>
        <xdr:cNvPr id="10" name="Chart 9">
          <a:extLst>
            <a:ext uri="{FF2B5EF4-FFF2-40B4-BE49-F238E27FC236}">
              <a16:creationId xmlns:a16="http://schemas.microsoft.com/office/drawing/2014/main" id="{BDDDF9C8-4410-423A-BD53-2895ACFBA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634999</xdr:colOff>
      <xdr:row>7</xdr:row>
      <xdr:rowOff>89336</xdr:rowOff>
    </xdr:from>
    <xdr:to>
      <xdr:col>17</xdr:col>
      <xdr:colOff>153276</xdr:colOff>
      <xdr:row>22</xdr:row>
      <xdr:rowOff>40726</xdr:rowOff>
    </xdr:to>
    <xdr:graphicFrame macro="">
      <xdr:nvGraphicFramePr>
        <xdr:cNvPr id="11" name="Chart 10">
          <a:extLst>
            <a:ext uri="{FF2B5EF4-FFF2-40B4-BE49-F238E27FC236}">
              <a16:creationId xmlns:a16="http://schemas.microsoft.com/office/drawing/2014/main" id="{CC02290B-98E1-4E36-830E-B15C6E3E50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10948</xdr:colOff>
      <xdr:row>23</xdr:row>
      <xdr:rowOff>10948</xdr:rowOff>
    </xdr:from>
    <xdr:to>
      <xdr:col>17</xdr:col>
      <xdr:colOff>186121</xdr:colOff>
      <xdr:row>39</xdr:row>
      <xdr:rowOff>109482</xdr:rowOff>
    </xdr:to>
    <xdr:graphicFrame macro="">
      <xdr:nvGraphicFramePr>
        <xdr:cNvPr id="12" name="Chart 11">
          <a:extLst>
            <a:ext uri="{FF2B5EF4-FFF2-40B4-BE49-F238E27FC236}">
              <a16:creationId xmlns:a16="http://schemas.microsoft.com/office/drawing/2014/main" id="{523C563E-1480-4C10-ADE6-C6EA09B4E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361292</xdr:colOff>
      <xdr:row>8</xdr:row>
      <xdr:rowOff>111232</xdr:rowOff>
    </xdr:from>
    <xdr:to>
      <xdr:col>23</xdr:col>
      <xdr:colOff>339396</xdr:colOff>
      <xdr:row>39</xdr:row>
      <xdr:rowOff>98535</xdr:rowOff>
    </xdr:to>
    <xdr:graphicFrame macro="">
      <xdr:nvGraphicFramePr>
        <xdr:cNvPr id="13" name="Chart 12">
          <a:extLst>
            <a:ext uri="{FF2B5EF4-FFF2-40B4-BE49-F238E27FC236}">
              <a16:creationId xmlns:a16="http://schemas.microsoft.com/office/drawing/2014/main" id="{2CAC5E15-A9FC-4157-A74A-E412D79F4A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156342</xdr:colOff>
      <xdr:row>7</xdr:row>
      <xdr:rowOff>78387</xdr:rowOff>
    </xdr:from>
    <xdr:to>
      <xdr:col>2</xdr:col>
      <xdr:colOff>339397</xdr:colOff>
      <xdr:row>39</xdr:row>
      <xdr:rowOff>32844</xdr:rowOff>
    </xdr:to>
    <mc:AlternateContent xmlns:mc="http://schemas.openxmlformats.org/markup-compatibility/2006">
      <mc:Choice xmlns:a14="http://schemas.microsoft.com/office/drawing/2010/main" Requires="a14">
        <xdr:graphicFrame macro="">
          <xdr:nvGraphicFramePr>
            <xdr:cNvPr id="14" name="Date">
              <a:extLst>
                <a:ext uri="{FF2B5EF4-FFF2-40B4-BE49-F238E27FC236}">
                  <a16:creationId xmlns:a16="http://schemas.microsoft.com/office/drawing/2014/main" id="{7D4CABD6-A7F2-4E9D-8021-07360AC4A7A6}"/>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156342" y="1348387"/>
              <a:ext cx="1504892" cy="57601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506688</xdr:colOff>
      <xdr:row>3</xdr:row>
      <xdr:rowOff>89337</xdr:rowOff>
    </xdr:from>
    <xdr:to>
      <xdr:col>20</xdr:col>
      <xdr:colOff>547414</xdr:colOff>
      <xdr:row>8</xdr:row>
      <xdr:rowOff>0</xdr:rowOff>
    </xdr:to>
    <mc:AlternateContent xmlns:mc="http://schemas.openxmlformats.org/markup-compatibility/2006">
      <mc:Choice xmlns:a14="http://schemas.microsoft.com/office/drawing/2010/main" Requires="a14">
        <xdr:graphicFrame macro="">
          <xdr:nvGraphicFramePr>
            <xdr:cNvPr id="15" name="Product">
              <a:extLst>
                <a:ext uri="{FF2B5EF4-FFF2-40B4-BE49-F238E27FC236}">
                  <a16:creationId xmlns:a16="http://schemas.microsoft.com/office/drawing/2014/main" id="{A5303EE5-9A6C-48C2-83FD-7B5BE1B00B7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1742300" y="633623"/>
              <a:ext cx="2023481" cy="8178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638066</xdr:colOff>
      <xdr:row>3</xdr:row>
      <xdr:rowOff>78389</xdr:rowOff>
    </xdr:from>
    <xdr:to>
      <xdr:col>23</xdr:col>
      <xdr:colOff>328448</xdr:colOff>
      <xdr:row>8</xdr:row>
      <xdr:rowOff>47785</xdr:rowOff>
    </xdr:to>
    <mc:AlternateContent xmlns:mc="http://schemas.openxmlformats.org/markup-compatibility/2006">
      <mc:Choice xmlns:a14="http://schemas.microsoft.com/office/drawing/2010/main" Requires="a14">
        <xdr:graphicFrame macro="">
          <xdr:nvGraphicFramePr>
            <xdr:cNvPr id="16" name="Supplier">
              <a:extLst>
                <a:ext uri="{FF2B5EF4-FFF2-40B4-BE49-F238E27FC236}">
                  <a16:creationId xmlns:a16="http://schemas.microsoft.com/office/drawing/2014/main" id="{E68ECF40-9911-41DB-98FD-8F5E12C06F17}"/>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dr:sp macro="" textlink="">
          <xdr:nvSpPr>
            <xdr:cNvPr id="0" name=""/>
            <xdr:cNvSpPr>
              <a:spLocks noTextEdit="1"/>
            </xdr:cNvSpPr>
          </xdr:nvSpPr>
          <xdr:spPr>
            <a:xfrm>
              <a:off x="13856433" y="622675"/>
              <a:ext cx="1673137" cy="876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bhav Kulkarni" refreshedDate="46019.514120138891" createdVersion="8" refreshedVersion="8" minRefreshableVersion="3" recordCount="101" xr:uid="{E675F0B6-C46D-4D1A-AF80-66ABAD4AC19B}">
  <cacheSource type="worksheet">
    <worksheetSource ref="G1:G1048576" sheet="Purchase Orders"/>
  </cacheSource>
  <cacheFields count="1">
    <cacheField name="Purchase Amount" numFmtId="164">
      <sharedItems containsString="0" containsBlank="1" containsNumber="1" minValue="1298.5" maxValue="43105.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bhav Kulkarni" refreshedDate="46019.514760532409" createdVersion="8" refreshedVersion="8" minRefreshableVersion="3" recordCount="101" xr:uid="{81562B4F-059C-4833-8C4E-E76163D4680C}">
  <cacheSource type="worksheet">
    <worksheetSource ref="E1:E1048576" sheet="Purchase Orders"/>
  </cacheSource>
  <cacheFields count="1">
    <cacheField name="Quantity Purchased" numFmtId="0">
      <sharedItems containsString="0" containsBlank="1" containsNumber="1" containsInteger="1" minValue="10" maxValue="1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bhav Kulkarni" refreshedDate="46019.515223958333" createdVersion="8" refreshedVersion="8" minRefreshableVersion="3" recordCount="100" xr:uid="{3FDA5EF1-6EAD-480B-991E-BF0331EC4415}">
  <cacheSource type="worksheet">
    <worksheetSource name="Table1[Purchase Amount]"/>
  </cacheSource>
  <cacheFields count="1">
    <cacheField name="Purchase Amount" numFmtId="164">
      <sharedItems containsSemiMixedTypes="0" containsString="0" containsNumber="1" minValue="1298.5" maxValue="43105.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bhav Kulkarni" refreshedDate="46019.515830787037" createdVersion="8" refreshedVersion="8" minRefreshableVersion="3" recordCount="101" xr:uid="{E54BB690-907D-44CE-AF68-EABE9A22CBAD}">
  <cacheSource type="worksheet">
    <worksheetSource ref="A1:A1048576" sheet="Purchase Orders"/>
  </cacheSource>
  <cacheFields count="1">
    <cacheField name="PO ID" numFmtId="0">
      <sharedItems containsBlank="1" count="101">
        <s v="PO001"/>
        <s v="PO002"/>
        <s v="PO003"/>
        <s v="PO004"/>
        <s v="PO005"/>
        <s v="PO006"/>
        <s v="PO007"/>
        <s v="PO008"/>
        <s v="PO009"/>
        <s v="PO010"/>
        <s v="PO011"/>
        <s v="PO012"/>
        <s v="PO013"/>
        <s v="PO014"/>
        <s v="PO015"/>
        <s v="PO016"/>
        <s v="PO017"/>
        <s v="PO018"/>
        <s v="PO019"/>
        <s v="PO020"/>
        <s v="PO021"/>
        <s v="PO022"/>
        <s v="PO023"/>
        <s v="PO024"/>
        <s v="PO025"/>
        <s v="PO026"/>
        <s v="PO027"/>
        <s v="PO028"/>
        <s v="PO029"/>
        <s v="PO030"/>
        <s v="PO031"/>
        <s v="PO032"/>
        <s v="PO033"/>
        <s v="PO034"/>
        <s v="PO035"/>
        <s v="PO036"/>
        <s v="PO037"/>
        <s v="PO038"/>
        <s v="PO039"/>
        <s v="PO040"/>
        <s v="PO041"/>
        <s v="PO042"/>
        <s v="PO043"/>
        <s v="PO044"/>
        <s v="PO045"/>
        <s v="PO046"/>
        <s v="PO047"/>
        <s v="PO048"/>
        <s v="PO049"/>
        <s v="PO050"/>
        <s v="PO051"/>
        <s v="PO052"/>
        <s v="PO053"/>
        <s v="PO054"/>
        <s v="PO055"/>
        <s v="PO056"/>
        <s v="PO057"/>
        <s v="PO058"/>
        <s v="PO059"/>
        <s v="PO060"/>
        <s v="PO061"/>
        <s v="PO062"/>
        <s v="PO063"/>
        <s v="PO064"/>
        <s v="PO065"/>
        <s v="PO066"/>
        <s v="PO067"/>
        <s v="PO068"/>
        <s v="PO069"/>
        <s v="PO070"/>
        <s v="PO071"/>
        <s v="PO072"/>
        <s v="PO073"/>
        <s v="PO074"/>
        <s v="PO075"/>
        <s v="PO076"/>
        <s v="PO077"/>
        <s v="PO078"/>
        <s v="PO079"/>
        <s v="PO080"/>
        <s v="PO081"/>
        <s v="PO082"/>
        <s v="PO083"/>
        <s v="PO084"/>
        <s v="PO085"/>
        <s v="PO086"/>
        <s v="PO087"/>
        <s v="PO088"/>
        <s v="PO089"/>
        <s v="PO090"/>
        <s v="PO091"/>
        <s v="PO092"/>
        <s v="PO093"/>
        <s v="PO094"/>
        <s v="PO095"/>
        <s v="PO096"/>
        <s v="PO097"/>
        <s v="PO098"/>
        <s v="PO099"/>
        <s v="PO100"/>
        <m/>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bhav Kulkarni" refreshedDate="46019.516367129632" createdVersion="8" refreshedVersion="8" minRefreshableVersion="3" recordCount="101" xr:uid="{171147B1-4452-435C-A0B7-5AA6648672DF}">
  <cacheSource type="worksheet">
    <worksheetSource ref="F1:F1048576" sheet="Purchase Orders"/>
  </cacheSource>
  <cacheFields count="1">
    <cacheField name="Unit Price" numFmtId="164">
      <sharedItems containsString="0" containsBlank="1" containsNumber="1" minValue="53.93" maxValue="498.8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bhav Kulkarni" refreshedDate="46019.52385046296" createdVersion="8" refreshedVersion="8" minRefreshableVersion="3" recordCount="100" xr:uid="{5C276B0A-3AD6-471B-9F67-6EB2826728F7}">
  <cacheSource type="worksheet">
    <worksheetSource name="Table1"/>
  </cacheSource>
  <cacheFields count="10">
    <cacheField name="PO ID" numFmtId="0">
      <sharedItems count="100">
        <s v="PO001"/>
        <s v="PO002"/>
        <s v="PO003"/>
        <s v="PO004"/>
        <s v="PO005"/>
        <s v="PO006"/>
        <s v="PO007"/>
        <s v="PO008"/>
        <s v="PO009"/>
        <s v="PO010"/>
        <s v="PO011"/>
        <s v="PO012"/>
        <s v="PO013"/>
        <s v="PO014"/>
        <s v="PO015"/>
        <s v="PO016"/>
        <s v="PO017"/>
        <s v="PO018"/>
        <s v="PO019"/>
        <s v="PO020"/>
        <s v="PO021"/>
        <s v="PO022"/>
        <s v="PO023"/>
        <s v="PO024"/>
        <s v="PO025"/>
        <s v="PO026"/>
        <s v="PO027"/>
        <s v="PO028"/>
        <s v="PO029"/>
        <s v="PO030"/>
        <s v="PO031"/>
        <s v="PO032"/>
        <s v="PO033"/>
        <s v="PO034"/>
        <s v="PO035"/>
        <s v="PO036"/>
        <s v="PO037"/>
        <s v="PO038"/>
        <s v="PO039"/>
        <s v="PO040"/>
        <s v="PO041"/>
        <s v="PO042"/>
        <s v="PO043"/>
        <s v="PO044"/>
        <s v="PO045"/>
        <s v="PO046"/>
        <s v="PO047"/>
        <s v="PO048"/>
        <s v="PO049"/>
        <s v="PO050"/>
        <s v="PO051"/>
        <s v="PO052"/>
        <s v="PO053"/>
        <s v="PO054"/>
        <s v="PO055"/>
        <s v="PO056"/>
        <s v="PO057"/>
        <s v="PO058"/>
        <s v="PO059"/>
        <s v="PO060"/>
        <s v="PO061"/>
        <s v="PO062"/>
        <s v="PO063"/>
        <s v="PO064"/>
        <s v="PO065"/>
        <s v="PO066"/>
        <s v="PO067"/>
        <s v="PO068"/>
        <s v="PO069"/>
        <s v="PO070"/>
        <s v="PO071"/>
        <s v="PO072"/>
        <s v="PO073"/>
        <s v="PO074"/>
        <s v="PO075"/>
        <s v="PO076"/>
        <s v="PO077"/>
        <s v="PO078"/>
        <s v="PO079"/>
        <s v="PO080"/>
        <s v="PO081"/>
        <s v="PO082"/>
        <s v="PO083"/>
        <s v="PO084"/>
        <s v="PO085"/>
        <s v="PO086"/>
        <s v="PO087"/>
        <s v="PO088"/>
        <s v="PO089"/>
        <s v="PO090"/>
        <s v="PO091"/>
        <s v="PO092"/>
        <s v="PO093"/>
        <s v="PO094"/>
        <s v="PO095"/>
        <s v="PO096"/>
        <s v="PO097"/>
        <s v="PO098"/>
        <s v="PO099"/>
        <s v="PO100"/>
      </sharedItems>
    </cacheField>
    <cacheField name="Date" numFmtId="14">
      <sharedItems containsSemiMixedTypes="0" containsNonDate="0" containsDate="1" containsString="0" minDate="2023-01-11T00:00:00" maxDate="2024-08-21T00:00:00" count="92">
        <d v="2023-06-21T00:00:00"/>
        <d v="2023-06-04T00:00:00"/>
        <d v="2023-04-29T00:00:00"/>
        <d v="2024-03-30T00:00:00"/>
        <d v="2023-09-18T00:00:00"/>
        <d v="2023-11-09T00:00:00"/>
        <d v="2023-02-04T00:00:00"/>
        <d v="2023-03-13T00:00:00"/>
        <d v="2023-06-06T00:00:00"/>
        <d v="2023-10-08T00:00:00"/>
        <d v="2023-06-07T00:00:00"/>
        <d v="2023-05-15T00:00:00"/>
        <d v="2023-08-20T00:00:00"/>
        <d v="2023-05-20T00:00:00"/>
        <d v="2023-08-24T00:00:00"/>
        <d v="2024-04-25T00:00:00"/>
        <d v="2023-07-09T00:00:00"/>
        <d v="2023-09-12T00:00:00"/>
        <d v="2023-11-17T00:00:00"/>
        <d v="2023-12-02T00:00:00"/>
        <d v="2024-08-13T00:00:00"/>
        <d v="2023-10-16T00:00:00"/>
        <d v="2023-03-06T00:00:00"/>
        <d v="2024-07-10T00:00:00"/>
        <d v="2024-02-07T00:00:00"/>
        <d v="2024-01-16T00:00:00"/>
        <d v="2023-01-20T00:00:00"/>
        <d v="2023-08-26T00:00:00"/>
        <d v="2023-08-07T00:00:00"/>
        <d v="2023-04-26T00:00:00"/>
        <d v="2024-07-24T00:00:00"/>
        <d v="2023-11-13T00:00:00"/>
        <d v="2024-05-31T00:00:00"/>
        <d v="2023-11-10T00:00:00"/>
        <d v="2024-04-16T00:00:00"/>
        <d v="2023-06-08T00:00:00"/>
        <d v="2023-07-05T00:00:00"/>
        <d v="2023-09-01T00:00:00"/>
        <d v="2024-01-21T00:00:00"/>
        <d v="2024-04-11T00:00:00"/>
        <d v="2023-06-22T00:00:00"/>
        <d v="2023-10-10T00:00:00"/>
        <d v="2024-08-18T00:00:00"/>
        <d v="2023-10-27T00:00:00"/>
        <d v="2023-09-05T00:00:00"/>
        <d v="2023-08-13T00:00:00"/>
        <d v="2024-06-05T00:00:00"/>
        <d v="2024-02-28T00:00:00"/>
        <d v="2023-02-01T00:00:00"/>
        <d v="2024-08-20T00:00:00"/>
        <d v="2024-06-16T00:00:00"/>
        <d v="2024-01-15T00:00:00"/>
        <d v="2023-10-22T00:00:00"/>
        <d v="2023-01-17T00:00:00"/>
        <d v="2023-09-11T00:00:00"/>
        <d v="2024-05-12T00:00:00"/>
        <d v="2023-12-25T00:00:00"/>
        <d v="2023-12-18T00:00:00"/>
        <d v="2023-08-22T00:00:00"/>
        <d v="2024-03-07T00:00:00"/>
        <d v="2024-01-26T00:00:00"/>
        <d v="2023-11-11T00:00:00"/>
        <d v="2023-06-18T00:00:00"/>
        <d v="2023-05-22T00:00:00"/>
        <d v="2023-09-08T00:00:00"/>
        <d v="2024-08-12T00:00:00"/>
        <d v="2024-05-01T00:00:00"/>
        <d v="2023-05-08T00:00:00"/>
        <d v="2023-07-25T00:00:00"/>
        <d v="2024-03-20T00:00:00"/>
        <d v="2023-01-11T00:00:00"/>
        <d v="2023-05-26T00:00:00"/>
        <d v="2023-07-10T00:00:00"/>
        <d v="2023-09-22T00:00:00"/>
        <d v="2023-11-06T00:00:00"/>
        <d v="2023-08-28T00:00:00"/>
        <d v="2024-05-24T00:00:00"/>
        <d v="2023-10-11T00:00:00"/>
        <d v="2023-04-12T00:00:00"/>
        <d v="2024-02-06T00:00:00"/>
        <d v="2023-11-01T00:00:00"/>
        <d v="2023-05-25T00:00:00"/>
        <d v="2024-03-29T00:00:00"/>
        <d v="2023-10-21T00:00:00"/>
        <d v="2024-08-14T00:00:00"/>
        <d v="2024-06-10T00:00:00"/>
        <d v="2024-08-03T00:00:00"/>
        <d v="2023-05-29T00:00:00"/>
        <d v="2023-02-20T00:00:00"/>
        <d v="2024-01-22T00:00:00"/>
        <d v="2023-11-29T00:00:00"/>
        <d v="2023-08-12T00:00:00"/>
      </sharedItems>
      <fieldGroup par="9"/>
    </cacheField>
    <cacheField name="Supplier" numFmtId="49">
      <sharedItems count="5">
        <s v="Delta Wholesalers"/>
        <s v="Beta Supplies"/>
        <s v="Gamma Distributors"/>
        <s v="Alpha Traders"/>
        <s v="Epsilon Imports"/>
      </sharedItems>
    </cacheField>
    <cacheField name="Product" numFmtId="0">
      <sharedItems count="15">
        <s v="Product 14"/>
        <s v="Product 3"/>
        <s v="Product 12"/>
        <s v="Product 9"/>
        <s v="Product 8"/>
        <s v="Product 6"/>
        <s v="Product 2"/>
        <s v="Product 13"/>
        <s v="Product 4"/>
        <s v="Product 1"/>
        <s v="Product 7"/>
        <s v="Product 11"/>
        <s v="Product 5"/>
        <s v="Product 10"/>
        <s v="Product 15"/>
      </sharedItems>
    </cacheField>
    <cacheField name="Quantity Purchased" numFmtId="0">
      <sharedItems containsSemiMixedTypes="0" containsString="0" containsNumber="1" containsInteger="1" minValue="10" maxValue="100"/>
    </cacheField>
    <cacheField name="Unit Price" numFmtId="164">
      <sharedItems containsSemiMixedTypes="0" containsString="0" containsNumber="1" minValue="53.93" maxValue="498.81"/>
    </cacheField>
    <cacheField name="Purchase Amount" numFmtId="164">
      <sharedItems containsSemiMixedTypes="0" containsString="0" containsNumber="1" minValue="1298.5" maxValue="43105.5"/>
    </cacheField>
    <cacheField name="Months (Date)" numFmtId="0" databaseField="0">
      <fieldGroup base="1">
        <rangePr groupBy="months" startDate="2023-01-11T00:00:00" endDate="2024-08-21T00:00:00"/>
        <groupItems count="14">
          <s v="&lt;11-01-2023"/>
          <s v="Jan"/>
          <s v="Feb"/>
          <s v="Mar"/>
          <s v="Apr"/>
          <s v="May"/>
          <s v="Jun"/>
          <s v="Jul"/>
          <s v="Aug"/>
          <s v="Sep"/>
          <s v="Oct"/>
          <s v="Nov"/>
          <s v="Dec"/>
          <s v="&gt;21-08-2024"/>
        </groupItems>
      </fieldGroup>
    </cacheField>
    <cacheField name="Quarters (Date)" numFmtId="0" databaseField="0">
      <fieldGroup base="1">
        <rangePr groupBy="quarters" startDate="2023-01-11T00:00:00" endDate="2024-08-21T00:00:00"/>
        <groupItems count="6">
          <s v="&lt;11-01-2023"/>
          <s v="Qtr1"/>
          <s v="Qtr2"/>
          <s v="Qtr3"/>
          <s v="Qtr4"/>
          <s v="&gt;21-08-2024"/>
        </groupItems>
      </fieldGroup>
    </cacheField>
    <cacheField name="Years (Date)" numFmtId="0" databaseField="0">
      <fieldGroup base="1">
        <rangePr groupBy="years" startDate="2023-01-11T00:00:00" endDate="2024-08-21T00:00:00"/>
        <groupItems count="4">
          <s v="&lt;11-01-2023"/>
          <s v="2023"/>
          <s v="2024"/>
          <s v="&gt;21-08-2024"/>
        </groupItems>
      </fieldGroup>
    </cacheField>
  </cacheFields>
  <extLst>
    <ext xmlns:x14="http://schemas.microsoft.com/office/spreadsheetml/2009/9/main" uri="{725AE2AE-9491-48be-B2B4-4EB974FC3084}">
      <x14:pivotCacheDefinition pivotCacheId="17447488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n v="11102.28"/>
  </r>
  <r>
    <n v="33890.300000000003"/>
  </r>
  <r>
    <n v="2734.82"/>
  </r>
  <r>
    <n v="14916.27"/>
  </r>
  <r>
    <n v="7185"/>
  </r>
  <r>
    <n v="19117.73"/>
  </r>
  <r>
    <n v="20008.95"/>
  </r>
  <r>
    <n v="23990.45"/>
  </r>
  <r>
    <n v="14321.71"/>
  </r>
  <r>
    <n v="7814.94"/>
  </r>
  <r>
    <n v="22616.67"/>
  </r>
  <r>
    <n v="9873.9699999999993"/>
  </r>
  <r>
    <n v="21448.83"/>
  </r>
  <r>
    <n v="3609.64"/>
  </r>
  <r>
    <n v="27044.32"/>
  </r>
  <r>
    <n v="11347.91"/>
  </r>
  <r>
    <n v="8299.74"/>
  </r>
  <r>
    <n v="13235.95"/>
  </r>
  <r>
    <n v="7513.32"/>
  </r>
  <r>
    <n v="1404.06"/>
  </r>
  <r>
    <n v="16963.259999999998"/>
  </r>
  <r>
    <n v="25633.200000000001"/>
  </r>
  <r>
    <n v="5433.2"/>
  </r>
  <r>
    <n v="5518.44"/>
  </r>
  <r>
    <n v="21957.64"/>
  </r>
  <r>
    <n v="14867.97"/>
  </r>
  <r>
    <n v="2515.81"/>
  </r>
  <r>
    <n v="2264.58"/>
  </r>
  <r>
    <n v="42286.17"/>
  </r>
  <r>
    <n v="13484.48"/>
  </r>
  <r>
    <n v="18820.400000000001"/>
  </r>
  <r>
    <n v="15123.24"/>
  </r>
  <r>
    <n v="3298.68"/>
  </r>
  <r>
    <n v="20778.400000000001"/>
  </r>
  <r>
    <n v="43105.5"/>
  </r>
  <r>
    <n v="40495.199999999997"/>
  </r>
  <r>
    <n v="9823.2800000000007"/>
  </r>
  <r>
    <n v="9378.8799999999992"/>
  </r>
  <r>
    <n v="3891.31"/>
  </r>
  <r>
    <n v="2421.54"/>
  </r>
  <r>
    <n v="21973.7"/>
  </r>
  <r>
    <n v="7041.75"/>
  </r>
  <r>
    <n v="2115.46"/>
  </r>
  <r>
    <n v="31663.68"/>
  </r>
  <r>
    <n v="8776.0400000000009"/>
  </r>
  <r>
    <n v="21752.48"/>
  </r>
  <r>
    <n v="26313.42"/>
  </r>
  <r>
    <n v="15902.64"/>
  </r>
  <r>
    <n v="1678.84"/>
  </r>
  <r>
    <n v="17559.36"/>
  </r>
  <r>
    <n v="2837.28"/>
  </r>
  <r>
    <n v="33525.230000000003"/>
  </r>
  <r>
    <n v="39293"/>
  </r>
  <r>
    <n v="8169.12"/>
  </r>
  <r>
    <n v="13647.06"/>
  </r>
  <r>
    <n v="32856.32"/>
  </r>
  <r>
    <n v="9576.84"/>
  </r>
  <r>
    <n v="32780.699999999997"/>
  </r>
  <r>
    <n v="34492.32"/>
  </r>
  <r>
    <n v="29494.92"/>
  </r>
  <r>
    <n v="31182.97"/>
  </r>
  <r>
    <n v="42858.81"/>
  </r>
  <r>
    <n v="6818.98"/>
  </r>
  <r>
    <n v="20294.82"/>
  </r>
  <r>
    <n v="20199.75"/>
  </r>
  <r>
    <n v="36297.599999999999"/>
  </r>
  <r>
    <n v="4762.5"/>
  </r>
  <r>
    <n v="21278.7"/>
  </r>
  <r>
    <n v="41217.300000000003"/>
  </r>
  <r>
    <n v="2163.3000000000002"/>
  </r>
  <r>
    <n v="9086.48"/>
  </r>
  <r>
    <n v="11556.94"/>
  </r>
  <r>
    <n v="16330.61"/>
  </r>
  <r>
    <n v="16216.73"/>
  </r>
  <r>
    <n v="31677.42"/>
  </r>
  <r>
    <n v="4509.45"/>
  </r>
  <r>
    <n v="33880.6"/>
  </r>
  <r>
    <n v="25375.35"/>
  </r>
  <r>
    <n v="16618.259999999998"/>
  </r>
  <r>
    <n v="8718.82"/>
  </r>
  <r>
    <n v="19140.810000000001"/>
  </r>
  <r>
    <n v="9776.7000000000007"/>
  </r>
  <r>
    <n v="1298.5"/>
  </r>
  <r>
    <n v="19885.400000000001"/>
  </r>
  <r>
    <n v="27704.9"/>
  </r>
  <r>
    <n v="13877.1"/>
  </r>
  <r>
    <n v="3775.1"/>
  </r>
  <r>
    <n v="41310.76"/>
  </r>
  <r>
    <n v="6670.9"/>
  </r>
  <r>
    <n v="25587.3"/>
  </r>
  <r>
    <n v="8522.5"/>
  </r>
  <r>
    <n v="14953.26"/>
  </r>
  <r>
    <n v="18886.48"/>
  </r>
  <r>
    <n v="11423.62"/>
  </r>
  <r>
    <n v="28921.14"/>
  </r>
  <r>
    <n v="9699.9"/>
  </r>
  <r>
    <n v="29285.4"/>
  </r>
  <r>
    <n v="3528.2"/>
  </r>
  <r>
    <n v="27692.21"/>
  </r>
  <r>
    <n v="16999"/>
  </r>
  <r>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n v="84"/>
  </r>
  <r>
    <n v="95"/>
  </r>
  <r>
    <n v="11"/>
  </r>
  <r>
    <n v="31"/>
  </r>
  <r>
    <n v="20"/>
  </r>
  <r>
    <n v="97"/>
  </r>
  <r>
    <n v="93"/>
  </r>
  <r>
    <n v="53"/>
  </r>
  <r>
    <n v="41"/>
  </r>
  <r>
    <n v="46"/>
  </r>
  <r>
    <n v="83"/>
  </r>
  <r>
    <n v="71"/>
  </r>
  <r>
    <n v="43"/>
  </r>
  <r>
    <n v="41"/>
  </r>
  <r>
    <n v="92"/>
  </r>
  <r>
    <n v="49"/>
  </r>
  <r>
    <n v="51"/>
  </r>
  <r>
    <n v="65"/>
  </r>
  <r>
    <n v="17"/>
  </r>
  <r>
    <n v="21"/>
  </r>
  <r>
    <n v="58"/>
  </r>
  <r>
    <n v="60"/>
  </r>
  <r>
    <n v="47"/>
  </r>
  <r>
    <n v="12"/>
  </r>
  <r>
    <n v="92"/>
  </r>
  <r>
    <n v="67"/>
  </r>
  <r>
    <n v="11"/>
  </r>
  <r>
    <n v="18"/>
  </r>
  <r>
    <n v="93"/>
  </r>
  <r>
    <n v="32"/>
  </r>
  <r>
    <n v="40"/>
  </r>
  <r>
    <n v="33"/>
  </r>
  <r>
    <n v="33"/>
  </r>
  <r>
    <n v="76"/>
  </r>
  <r>
    <n v="93"/>
  </r>
  <r>
    <n v="94"/>
  </r>
  <r>
    <n v="34"/>
  </r>
  <r>
    <n v="53"/>
  </r>
  <r>
    <n v="41"/>
  </r>
  <r>
    <n v="18"/>
  </r>
  <r>
    <n v="70"/>
  </r>
  <r>
    <n v="15"/>
  </r>
  <r>
    <n v="38"/>
  </r>
  <r>
    <n v="96"/>
  </r>
  <r>
    <n v="52"/>
  </r>
  <r>
    <n v="46"/>
  </r>
  <r>
    <n v="86"/>
  </r>
  <r>
    <n v="39"/>
  </r>
  <r>
    <n v="19"/>
  </r>
  <r>
    <n v="67"/>
  </r>
  <r>
    <n v="23"/>
  </r>
  <r>
    <n v="79"/>
  </r>
  <r>
    <n v="100"/>
  </r>
  <r>
    <n v="24"/>
  </r>
  <r>
    <n v="42"/>
  </r>
  <r>
    <n v="76"/>
  </r>
  <r>
    <n v="84"/>
  </r>
  <r>
    <n v="71"/>
  </r>
  <r>
    <n v="72"/>
  </r>
  <r>
    <n v="78"/>
  </r>
  <r>
    <n v="91"/>
  </r>
  <r>
    <n v="87"/>
  </r>
  <r>
    <n v="53"/>
  </r>
  <r>
    <n v="42"/>
  </r>
  <r>
    <n v="69"/>
  </r>
  <r>
    <n v="95"/>
  </r>
  <r>
    <n v="10"/>
  </r>
  <r>
    <n v="74"/>
  </r>
  <r>
    <n v="90"/>
  </r>
  <r>
    <n v="10"/>
  </r>
  <r>
    <n v="26"/>
  </r>
  <r>
    <n v="34"/>
  </r>
  <r>
    <n v="89"/>
  </r>
  <r>
    <n v="37"/>
  </r>
  <r>
    <n v="82"/>
  </r>
  <r>
    <n v="45"/>
  </r>
  <r>
    <n v="83"/>
  </r>
  <r>
    <n v="55"/>
  </r>
  <r>
    <n v="47"/>
  </r>
  <r>
    <n v="22"/>
  </r>
  <r>
    <n v="51"/>
  </r>
  <r>
    <n v="30"/>
  </r>
  <r>
    <n v="14"/>
  </r>
  <r>
    <n v="76"/>
  </r>
  <r>
    <n v="86"/>
  </r>
  <r>
    <n v="30"/>
  </r>
  <r>
    <n v="70"/>
  </r>
  <r>
    <n v="92"/>
  </r>
  <r>
    <n v="19"/>
  </r>
  <r>
    <n v="57"/>
  </r>
  <r>
    <n v="25"/>
  </r>
  <r>
    <n v="42"/>
  </r>
  <r>
    <n v="94"/>
  </r>
  <r>
    <n v="26"/>
  </r>
  <r>
    <n v="62"/>
  </r>
  <r>
    <n v="42"/>
  </r>
  <r>
    <n v="60"/>
  </r>
  <r>
    <n v="26"/>
  </r>
  <r>
    <n v="91"/>
  </r>
  <r>
    <n v="50"/>
  </r>
  <r>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1102.28"/>
  </r>
  <r>
    <n v="33890.300000000003"/>
  </r>
  <r>
    <n v="2734.82"/>
  </r>
  <r>
    <n v="14916.27"/>
  </r>
  <r>
    <n v="7185"/>
  </r>
  <r>
    <n v="19117.73"/>
  </r>
  <r>
    <n v="20008.95"/>
  </r>
  <r>
    <n v="23990.45"/>
  </r>
  <r>
    <n v="14321.71"/>
  </r>
  <r>
    <n v="7814.94"/>
  </r>
  <r>
    <n v="22616.67"/>
  </r>
  <r>
    <n v="9873.9699999999993"/>
  </r>
  <r>
    <n v="21448.83"/>
  </r>
  <r>
    <n v="3609.64"/>
  </r>
  <r>
    <n v="27044.32"/>
  </r>
  <r>
    <n v="11347.91"/>
  </r>
  <r>
    <n v="8299.74"/>
  </r>
  <r>
    <n v="13235.95"/>
  </r>
  <r>
    <n v="7513.32"/>
  </r>
  <r>
    <n v="1404.06"/>
  </r>
  <r>
    <n v="16963.259999999998"/>
  </r>
  <r>
    <n v="25633.200000000001"/>
  </r>
  <r>
    <n v="5433.2"/>
  </r>
  <r>
    <n v="5518.44"/>
  </r>
  <r>
    <n v="21957.64"/>
  </r>
  <r>
    <n v="14867.97"/>
  </r>
  <r>
    <n v="2515.81"/>
  </r>
  <r>
    <n v="2264.58"/>
  </r>
  <r>
    <n v="42286.17"/>
  </r>
  <r>
    <n v="13484.48"/>
  </r>
  <r>
    <n v="18820.400000000001"/>
  </r>
  <r>
    <n v="15123.24"/>
  </r>
  <r>
    <n v="3298.68"/>
  </r>
  <r>
    <n v="20778.400000000001"/>
  </r>
  <r>
    <n v="43105.5"/>
  </r>
  <r>
    <n v="40495.199999999997"/>
  </r>
  <r>
    <n v="9823.2800000000007"/>
  </r>
  <r>
    <n v="9378.8799999999992"/>
  </r>
  <r>
    <n v="3891.31"/>
  </r>
  <r>
    <n v="2421.54"/>
  </r>
  <r>
    <n v="21973.7"/>
  </r>
  <r>
    <n v="7041.75"/>
  </r>
  <r>
    <n v="2115.46"/>
  </r>
  <r>
    <n v="31663.68"/>
  </r>
  <r>
    <n v="8776.0400000000009"/>
  </r>
  <r>
    <n v="21752.48"/>
  </r>
  <r>
    <n v="26313.42"/>
  </r>
  <r>
    <n v="15902.64"/>
  </r>
  <r>
    <n v="1678.84"/>
  </r>
  <r>
    <n v="17559.36"/>
  </r>
  <r>
    <n v="2837.28"/>
  </r>
  <r>
    <n v="33525.230000000003"/>
  </r>
  <r>
    <n v="39293"/>
  </r>
  <r>
    <n v="8169.12"/>
  </r>
  <r>
    <n v="13647.06"/>
  </r>
  <r>
    <n v="32856.32"/>
  </r>
  <r>
    <n v="9576.84"/>
  </r>
  <r>
    <n v="32780.699999999997"/>
  </r>
  <r>
    <n v="34492.32"/>
  </r>
  <r>
    <n v="29494.92"/>
  </r>
  <r>
    <n v="31182.97"/>
  </r>
  <r>
    <n v="42858.81"/>
  </r>
  <r>
    <n v="6818.98"/>
  </r>
  <r>
    <n v="20294.82"/>
  </r>
  <r>
    <n v="20199.75"/>
  </r>
  <r>
    <n v="36297.599999999999"/>
  </r>
  <r>
    <n v="4762.5"/>
  </r>
  <r>
    <n v="21278.7"/>
  </r>
  <r>
    <n v="41217.300000000003"/>
  </r>
  <r>
    <n v="2163.3000000000002"/>
  </r>
  <r>
    <n v="9086.48"/>
  </r>
  <r>
    <n v="11556.94"/>
  </r>
  <r>
    <n v="16330.61"/>
  </r>
  <r>
    <n v="16216.73"/>
  </r>
  <r>
    <n v="31677.42"/>
  </r>
  <r>
    <n v="4509.45"/>
  </r>
  <r>
    <n v="33880.6"/>
  </r>
  <r>
    <n v="25375.35"/>
  </r>
  <r>
    <n v="16618.259999999998"/>
  </r>
  <r>
    <n v="8718.82"/>
  </r>
  <r>
    <n v="19140.810000000001"/>
  </r>
  <r>
    <n v="9776.7000000000007"/>
  </r>
  <r>
    <n v="1298.5"/>
  </r>
  <r>
    <n v="19885.400000000001"/>
  </r>
  <r>
    <n v="27704.9"/>
  </r>
  <r>
    <n v="13877.1"/>
  </r>
  <r>
    <n v="3775.1"/>
  </r>
  <r>
    <n v="41310.76"/>
  </r>
  <r>
    <n v="6670.9"/>
  </r>
  <r>
    <n v="25587.3"/>
  </r>
  <r>
    <n v="8522.5"/>
  </r>
  <r>
    <n v="14953.26"/>
  </r>
  <r>
    <n v="18886.48"/>
  </r>
  <r>
    <n v="11423.62"/>
  </r>
  <r>
    <n v="28921.14"/>
  </r>
  <r>
    <n v="9699.9"/>
  </r>
  <r>
    <n v="29285.4"/>
  </r>
  <r>
    <n v="3528.2"/>
  </r>
  <r>
    <n v="27692.21"/>
  </r>
  <r>
    <n v="1699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x v="0"/>
  </r>
  <r>
    <x v="1"/>
  </r>
  <r>
    <x v="2"/>
  </r>
  <r>
    <x v="3"/>
  </r>
  <r>
    <x v="4"/>
  </r>
  <r>
    <x v="5"/>
  </r>
  <r>
    <x v="6"/>
  </r>
  <r>
    <x v="7"/>
  </r>
  <r>
    <x v="8"/>
  </r>
  <r>
    <x v="9"/>
  </r>
  <r>
    <x v="10"/>
  </r>
  <r>
    <x v="11"/>
  </r>
  <r>
    <x v="12"/>
  </r>
  <r>
    <x v="13"/>
  </r>
  <r>
    <x v="14"/>
  </r>
  <r>
    <x v="15"/>
  </r>
  <r>
    <x v="16"/>
  </r>
  <r>
    <x v="17"/>
  </r>
  <r>
    <x v="18"/>
  </r>
  <r>
    <x v="19"/>
  </r>
  <r>
    <x v="20"/>
  </r>
  <r>
    <x v="21"/>
  </r>
  <r>
    <x v="22"/>
  </r>
  <r>
    <x v="23"/>
  </r>
  <r>
    <x v="24"/>
  </r>
  <r>
    <x v="25"/>
  </r>
  <r>
    <x v="26"/>
  </r>
  <r>
    <x v="27"/>
  </r>
  <r>
    <x v="28"/>
  </r>
  <r>
    <x v="29"/>
  </r>
  <r>
    <x v="30"/>
  </r>
  <r>
    <x v="31"/>
  </r>
  <r>
    <x v="32"/>
  </r>
  <r>
    <x v="33"/>
  </r>
  <r>
    <x v="34"/>
  </r>
  <r>
    <x v="35"/>
  </r>
  <r>
    <x v="36"/>
  </r>
  <r>
    <x v="37"/>
  </r>
  <r>
    <x v="38"/>
  </r>
  <r>
    <x v="39"/>
  </r>
  <r>
    <x v="40"/>
  </r>
  <r>
    <x v="41"/>
  </r>
  <r>
    <x v="42"/>
  </r>
  <r>
    <x v="43"/>
  </r>
  <r>
    <x v="44"/>
  </r>
  <r>
    <x v="45"/>
  </r>
  <r>
    <x v="46"/>
  </r>
  <r>
    <x v="47"/>
  </r>
  <r>
    <x v="48"/>
  </r>
  <r>
    <x v="49"/>
  </r>
  <r>
    <x v="50"/>
  </r>
  <r>
    <x v="51"/>
  </r>
  <r>
    <x v="52"/>
  </r>
  <r>
    <x v="53"/>
  </r>
  <r>
    <x v="54"/>
  </r>
  <r>
    <x v="55"/>
  </r>
  <r>
    <x v="56"/>
  </r>
  <r>
    <x v="57"/>
  </r>
  <r>
    <x v="58"/>
  </r>
  <r>
    <x v="59"/>
  </r>
  <r>
    <x v="60"/>
  </r>
  <r>
    <x v="61"/>
  </r>
  <r>
    <x v="62"/>
  </r>
  <r>
    <x v="63"/>
  </r>
  <r>
    <x v="64"/>
  </r>
  <r>
    <x v="65"/>
  </r>
  <r>
    <x v="66"/>
  </r>
  <r>
    <x v="67"/>
  </r>
  <r>
    <x v="68"/>
  </r>
  <r>
    <x v="69"/>
  </r>
  <r>
    <x v="70"/>
  </r>
  <r>
    <x v="71"/>
  </r>
  <r>
    <x v="72"/>
  </r>
  <r>
    <x v="73"/>
  </r>
  <r>
    <x v="74"/>
  </r>
  <r>
    <x v="75"/>
  </r>
  <r>
    <x v="76"/>
  </r>
  <r>
    <x v="77"/>
  </r>
  <r>
    <x v="78"/>
  </r>
  <r>
    <x v="79"/>
  </r>
  <r>
    <x v="80"/>
  </r>
  <r>
    <x v="81"/>
  </r>
  <r>
    <x v="82"/>
  </r>
  <r>
    <x v="83"/>
  </r>
  <r>
    <x v="84"/>
  </r>
  <r>
    <x v="85"/>
  </r>
  <r>
    <x v="86"/>
  </r>
  <r>
    <x v="87"/>
  </r>
  <r>
    <x v="88"/>
  </r>
  <r>
    <x v="89"/>
  </r>
  <r>
    <x v="90"/>
  </r>
  <r>
    <x v="91"/>
  </r>
  <r>
    <x v="92"/>
  </r>
  <r>
    <x v="93"/>
  </r>
  <r>
    <x v="94"/>
  </r>
  <r>
    <x v="95"/>
  </r>
  <r>
    <x v="96"/>
  </r>
  <r>
    <x v="97"/>
  </r>
  <r>
    <x v="98"/>
  </r>
  <r>
    <x v="99"/>
  </r>
  <r>
    <x v="10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n v="132.16999999999999"/>
  </r>
  <r>
    <n v="356.74"/>
  </r>
  <r>
    <n v="248.62"/>
  </r>
  <r>
    <n v="481.17"/>
  </r>
  <r>
    <n v="359.25"/>
  </r>
  <r>
    <n v="197.09"/>
  </r>
  <r>
    <n v="215.15"/>
  </r>
  <r>
    <n v="452.65"/>
  </r>
  <r>
    <n v="349.31"/>
  </r>
  <r>
    <n v="169.89"/>
  </r>
  <r>
    <n v="272.49"/>
  </r>
  <r>
    <n v="139.07"/>
  </r>
  <r>
    <n v="498.81"/>
  </r>
  <r>
    <n v="88.04"/>
  </r>
  <r>
    <n v="293.95999999999998"/>
  </r>
  <r>
    <n v="231.59"/>
  </r>
  <r>
    <n v="162.74"/>
  </r>
  <r>
    <n v="203.63"/>
  </r>
  <r>
    <n v="441.96"/>
  </r>
  <r>
    <n v="66.86"/>
  </r>
  <r>
    <n v="292.47000000000003"/>
  </r>
  <r>
    <n v="427.22"/>
  </r>
  <r>
    <n v="115.6"/>
  </r>
  <r>
    <n v="459.87"/>
  </r>
  <r>
    <n v="238.67"/>
  </r>
  <r>
    <n v="221.91"/>
  </r>
  <r>
    <n v="228.71"/>
  </r>
  <r>
    <n v="125.81"/>
  </r>
  <r>
    <n v="454.69"/>
  </r>
  <r>
    <n v="421.39"/>
  </r>
  <r>
    <n v="470.51"/>
  </r>
  <r>
    <n v="458.28"/>
  </r>
  <r>
    <n v="99.96"/>
  </r>
  <r>
    <n v="273.39999999999998"/>
  </r>
  <r>
    <n v="463.5"/>
  </r>
  <r>
    <n v="430.8"/>
  </r>
  <r>
    <n v="288.92"/>
  </r>
  <r>
    <n v="176.96"/>
  </r>
  <r>
    <n v="94.91"/>
  </r>
  <r>
    <n v="134.53"/>
  </r>
  <r>
    <n v="313.91000000000003"/>
  </r>
  <r>
    <n v="469.45"/>
  </r>
  <r>
    <n v="55.67"/>
  </r>
  <r>
    <n v="329.83"/>
  </r>
  <r>
    <n v="168.77"/>
  </r>
  <r>
    <n v="472.88"/>
  </r>
  <r>
    <n v="305.97000000000003"/>
  </r>
  <r>
    <n v="407.76"/>
  </r>
  <r>
    <n v="88.36"/>
  </r>
  <r>
    <n v="262.08"/>
  </r>
  <r>
    <n v="123.36"/>
  </r>
  <r>
    <n v="424.37"/>
  </r>
  <r>
    <n v="392.93"/>
  </r>
  <r>
    <n v="340.38"/>
  </r>
  <r>
    <n v="324.93"/>
  </r>
  <r>
    <n v="432.32"/>
  </r>
  <r>
    <n v="114.01"/>
  </r>
  <r>
    <n v="461.7"/>
  </r>
  <r>
    <n v="479.06"/>
  </r>
  <r>
    <n v="378.14"/>
  </r>
  <r>
    <n v="342.67"/>
  </r>
  <r>
    <n v="492.63"/>
  </r>
  <r>
    <n v="128.66"/>
  </r>
  <r>
    <n v="483.21"/>
  </r>
  <r>
    <n v="292.75"/>
  </r>
  <r>
    <n v="382.08"/>
  </r>
  <r>
    <n v="476.25"/>
  </r>
  <r>
    <n v="287.55"/>
  </r>
  <r>
    <n v="457.97"/>
  </r>
  <r>
    <n v="216.33"/>
  </r>
  <r>
    <n v="349.48"/>
  </r>
  <r>
    <n v="339.91"/>
  </r>
  <r>
    <n v="183.49"/>
  </r>
  <r>
    <n v="438.29"/>
  </r>
  <r>
    <n v="386.31"/>
  </r>
  <r>
    <n v="100.21"/>
  </r>
  <r>
    <n v="408.2"/>
  </r>
  <r>
    <n v="461.37"/>
  </r>
  <r>
    <n v="353.58"/>
  </r>
  <r>
    <n v="396.31"/>
  </r>
  <r>
    <n v="375.31"/>
  </r>
  <r>
    <n v="325.89"/>
  </r>
  <r>
    <n v="92.75"/>
  </r>
  <r>
    <n v="261.64999999999998"/>
  </r>
  <r>
    <n v="322.14999999999998"/>
  </r>
  <r>
    <n v="462.57"/>
  </r>
  <r>
    <n v="53.93"/>
  </r>
  <r>
    <n v="449.03"/>
  </r>
  <r>
    <n v="351.1"/>
  </r>
  <r>
    <n v="448.9"/>
  </r>
  <r>
    <n v="340.9"/>
  </r>
  <r>
    <n v="356.03"/>
  </r>
  <r>
    <n v="200.92"/>
  </r>
  <r>
    <n v="439.37"/>
  </r>
  <r>
    <n v="466.47"/>
  </r>
  <r>
    <n v="230.95"/>
  </r>
  <r>
    <n v="488.09"/>
  </r>
  <r>
    <n v="135.69999999999999"/>
  </r>
  <r>
    <n v="304.31"/>
  </r>
  <r>
    <n v="339.98"/>
  </r>
  <r>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n v="84"/>
    <n v="132.16999999999999"/>
    <n v="11102.28"/>
  </r>
  <r>
    <x v="1"/>
    <x v="1"/>
    <x v="1"/>
    <x v="1"/>
    <n v="95"/>
    <n v="356.74"/>
    <n v="33890.300000000003"/>
  </r>
  <r>
    <x v="2"/>
    <x v="2"/>
    <x v="2"/>
    <x v="2"/>
    <n v="11"/>
    <n v="248.62"/>
    <n v="2734.82"/>
  </r>
  <r>
    <x v="3"/>
    <x v="3"/>
    <x v="3"/>
    <x v="3"/>
    <n v="31"/>
    <n v="481.17"/>
    <n v="14916.27"/>
  </r>
  <r>
    <x v="4"/>
    <x v="4"/>
    <x v="2"/>
    <x v="4"/>
    <n v="20"/>
    <n v="359.25"/>
    <n v="7185"/>
  </r>
  <r>
    <x v="5"/>
    <x v="5"/>
    <x v="4"/>
    <x v="1"/>
    <n v="97"/>
    <n v="197.09"/>
    <n v="19117.73"/>
  </r>
  <r>
    <x v="6"/>
    <x v="6"/>
    <x v="3"/>
    <x v="3"/>
    <n v="93"/>
    <n v="215.15"/>
    <n v="20008.95"/>
  </r>
  <r>
    <x v="7"/>
    <x v="7"/>
    <x v="1"/>
    <x v="5"/>
    <n v="53"/>
    <n v="452.65"/>
    <n v="23990.45"/>
  </r>
  <r>
    <x v="8"/>
    <x v="8"/>
    <x v="2"/>
    <x v="6"/>
    <n v="41"/>
    <n v="349.31"/>
    <n v="14321.71"/>
  </r>
  <r>
    <x v="9"/>
    <x v="9"/>
    <x v="0"/>
    <x v="0"/>
    <n v="46"/>
    <n v="169.89"/>
    <n v="7814.94"/>
  </r>
  <r>
    <x v="10"/>
    <x v="10"/>
    <x v="1"/>
    <x v="6"/>
    <n v="83"/>
    <n v="272.49"/>
    <n v="22616.67"/>
  </r>
  <r>
    <x v="11"/>
    <x v="11"/>
    <x v="1"/>
    <x v="5"/>
    <n v="71"/>
    <n v="139.07"/>
    <n v="9873.9699999999993"/>
  </r>
  <r>
    <x v="12"/>
    <x v="12"/>
    <x v="0"/>
    <x v="3"/>
    <n v="43"/>
    <n v="498.81"/>
    <n v="21448.83"/>
  </r>
  <r>
    <x v="13"/>
    <x v="13"/>
    <x v="4"/>
    <x v="7"/>
    <n v="41"/>
    <n v="88.04"/>
    <n v="3609.64"/>
  </r>
  <r>
    <x v="14"/>
    <x v="14"/>
    <x v="2"/>
    <x v="5"/>
    <n v="92"/>
    <n v="293.95999999999998"/>
    <n v="27044.32"/>
  </r>
  <r>
    <x v="15"/>
    <x v="15"/>
    <x v="0"/>
    <x v="8"/>
    <n v="49"/>
    <n v="231.59"/>
    <n v="11347.91"/>
  </r>
  <r>
    <x v="16"/>
    <x v="16"/>
    <x v="2"/>
    <x v="0"/>
    <n v="51"/>
    <n v="162.74"/>
    <n v="8299.74"/>
  </r>
  <r>
    <x v="17"/>
    <x v="17"/>
    <x v="4"/>
    <x v="0"/>
    <n v="65"/>
    <n v="203.63"/>
    <n v="13235.95"/>
  </r>
  <r>
    <x v="18"/>
    <x v="18"/>
    <x v="2"/>
    <x v="9"/>
    <n v="17"/>
    <n v="441.96"/>
    <n v="7513.32"/>
  </r>
  <r>
    <x v="19"/>
    <x v="19"/>
    <x v="0"/>
    <x v="4"/>
    <n v="21"/>
    <n v="66.86"/>
    <n v="1404.06"/>
  </r>
  <r>
    <x v="20"/>
    <x v="20"/>
    <x v="0"/>
    <x v="7"/>
    <n v="58"/>
    <n v="292.47000000000003"/>
    <n v="16963.259999999998"/>
  </r>
  <r>
    <x v="21"/>
    <x v="21"/>
    <x v="4"/>
    <x v="10"/>
    <n v="60"/>
    <n v="427.22"/>
    <n v="25633.200000000001"/>
  </r>
  <r>
    <x v="22"/>
    <x v="22"/>
    <x v="2"/>
    <x v="5"/>
    <n v="47"/>
    <n v="115.6"/>
    <n v="5433.2"/>
  </r>
  <r>
    <x v="23"/>
    <x v="23"/>
    <x v="4"/>
    <x v="11"/>
    <n v="12"/>
    <n v="459.87"/>
    <n v="5518.44"/>
  </r>
  <r>
    <x v="24"/>
    <x v="24"/>
    <x v="3"/>
    <x v="2"/>
    <n v="92"/>
    <n v="238.67"/>
    <n v="21957.64"/>
  </r>
  <r>
    <x v="25"/>
    <x v="25"/>
    <x v="2"/>
    <x v="12"/>
    <n v="67"/>
    <n v="221.91"/>
    <n v="14867.97"/>
  </r>
  <r>
    <x v="26"/>
    <x v="26"/>
    <x v="2"/>
    <x v="0"/>
    <n v="11"/>
    <n v="228.71"/>
    <n v="2515.81"/>
  </r>
  <r>
    <x v="27"/>
    <x v="27"/>
    <x v="0"/>
    <x v="4"/>
    <n v="18"/>
    <n v="125.81"/>
    <n v="2264.58"/>
  </r>
  <r>
    <x v="28"/>
    <x v="28"/>
    <x v="1"/>
    <x v="3"/>
    <n v="93"/>
    <n v="454.69"/>
    <n v="42286.17"/>
  </r>
  <r>
    <x v="29"/>
    <x v="29"/>
    <x v="0"/>
    <x v="1"/>
    <n v="32"/>
    <n v="421.39"/>
    <n v="13484.48"/>
  </r>
  <r>
    <x v="30"/>
    <x v="30"/>
    <x v="3"/>
    <x v="9"/>
    <n v="40"/>
    <n v="470.51"/>
    <n v="18820.400000000001"/>
  </r>
  <r>
    <x v="31"/>
    <x v="31"/>
    <x v="0"/>
    <x v="9"/>
    <n v="33"/>
    <n v="458.28"/>
    <n v="15123.24"/>
  </r>
  <r>
    <x v="32"/>
    <x v="32"/>
    <x v="3"/>
    <x v="0"/>
    <n v="33"/>
    <n v="99.96"/>
    <n v="3298.68"/>
  </r>
  <r>
    <x v="33"/>
    <x v="33"/>
    <x v="3"/>
    <x v="13"/>
    <n v="76"/>
    <n v="273.39999999999998"/>
    <n v="20778.400000000001"/>
  </r>
  <r>
    <x v="34"/>
    <x v="34"/>
    <x v="2"/>
    <x v="11"/>
    <n v="93"/>
    <n v="463.5"/>
    <n v="43105.5"/>
  </r>
  <r>
    <x v="35"/>
    <x v="35"/>
    <x v="0"/>
    <x v="10"/>
    <n v="94"/>
    <n v="430.8"/>
    <n v="40495.199999999997"/>
  </r>
  <r>
    <x v="36"/>
    <x v="36"/>
    <x v="2"/>
    <x v="6"/>
    <n v="34"/>
    <n v="288.92"/>
    <n v="9823.2800000000007"/>
  </r>
  <r>
    <x v="37"/>
    <x v="27"/>
    <x v="1"/>
    <x v="4"/>
    <n v="53"/>
    <n v="176.96"/>
    <n v="9378.8799999999992"/>
  </r>
  <r>
    <x v="38"/>
    <x v="37"/>
    <x v="4"/>
    <x v="1"/>
    <n v="41"/>
    <n v="94.91"/>
    <n v="3891.31"/>
  </r>
  <r>
    <x v="39"/>
    <x v="38"/>
    <x v="2"/>
    <x v="4"/>
    <n v="18"/>
    <n v="134.53"/>
    <n v="2421.54"/>
  </r>
  <r>
    <x v="40"/>
    <x v="39"/>
    <x v="4"/>
    <x v="13"/>
    <n v="70"/>
    <n v="313.91000000000003"/>
    <n v="21973.7"/>
  </r>
  <r>
    <x v="41"/>
    <x v="40"/>
    <x v="1"/>
    <x v="0"/>
    <n v="15"/>
    <n v="469.45"/>
    <n v="7041.75"/>
  </r>
  <r>
    <x v="42"/>
    <x v="41"/>
    <x v="1"/>
    <x v="2"/>
    <n v="38"/>
    <n v="55.67"/>
    <n v="2115.46"/>
  </r>
  <r>
    <x v="43"/>
    <x v="42"/>
    <x v="2"/>
    <x v="4"/>
    <n v="96"/>
    <n v="329.83"/>
    <n v="31663.68"/>
  </r>
  <r>
    <x v="44"/>
    <x v="43"/>
    <x v="1"/>
    <x v="14"/>
    <n v="52"/>
    <n v="168.77"/>
    <n v="8776.0400000000009"/>
  </r>
  <r>
    <x v="45"/>
    <x v="44"/>
    <x v="0"/>
    <x v="3"/>
    <n v="46"/>
    <n v="472.88"/>
    <n v="21752.48"/>
  </r>
  <r>
    <x v="46"/>
    <x v="45"/>
    <x v="2"/>
    <x v="11"/>
    <n v="86"/>
    <n v="305.97000000000003"/>
    <n v="26313.42"/>
  </r>
  <r>
    <x v="47"/>
    <x v="46"/>
    <x v="2"/>
    <x v="0"/>
    <n v="39"/>
    <n v="407.76"/>
    <n v="15902.64"/>
  </r>
  <r>
    <x v="48"/>
    <x v="3"/>
    <x v="0"/>
    <x v="5"/>
    <n v="19"/>
    <n v="88.36"/>
    <n v="1678.84"/>
  </r>
  <r>
    <x v="49"/>
    <x v="47"/>
    <x v="0"/>
    <x v="5"/>
    <n v="67"/>
    <n v="262.08"/>
    <n v="17559.36"/>
  </r>
  <r>
    <x v="50"/>
    <x v="48"/>
    <x v="1"/>
    <x v="9"/>
    <n v="23"/>
    <n v="123.36"/>
    <n v="2837.28"/>
  </r>
  <r>
    <x v="51"/>
    <x v="49"/>
    <x v="2"/>
    <x v="11"/>
    <n v="79"/>
    <n v="424.37"/>
    <n v="33525.230000000003"/>
  </r>
  <r>
    <x v="52"/>
    <x v="28"/>
    <x v="2"/>
    <x v="8"/>
    <n v="100"/>
    <n v="392.93"/>
    <n v="39293"/>
  </r>
  <r>
    <x v="53"/>
    <x v="50"/>
    <x v="2"/>
    <x v="1"/>
    <n v="24"/>
    <n v="340.38"/>
    <n v="8169.12"/>
  </r>
  <r>
    <x v="54"/>
    <x v="51"/>
    <x v="1"/>
    <x v="3"/>
    <n v="42"/>
    <n v="324.93"/>
    <n v="13647.06"/>
  </r>
  <r>
    <x v="55"/>
    <x v="52"/>
    <x v="1"/>
    <x v="12"/>
    <n v="76"/>
    <n v="432.32"/>
    <n v="32856.32"/>
  </r>
  <r>
    <x v="56"/>
    <x v="53"/>
    <x v="1"/>
    <x v="12"/>
    <n v="84"/>
    <n v="114.01"/>
    <n v="9576.84"/>
  </r>
  <r>
    <x v="57"/>
    <x v="54"/>
    <x v="3"/>
    <x v="8"/>
    <n v="71"/>
    <n v="461.7"/>
    <n v="32780.699999999997"/>
  </r>
  <r>
    <x v="58"/>
    <x v="55"/>
    <x v="4"/>
    <x v="7"/>
    <n v="72"/>
    <n v="479.06"/>
    <n v="34492.32"/>
  </r>
  <r>
    <x v="59"/>
    <x v="56"/>
    <x v="1"/>
    <x v="14"/>
    <n v="78"/>
    <n v="378.14"/>
    <n v="29494.92"/>
  </r>
  <r>
    <x v="60"/>
    <x v="57"/>
    <x v="3"/>
    <x v="13"/>
    <n v="91"/>
    <n v="342.67"/>
    <n v="31182.97"/>
  </r>
  <r>
    <x v="61"/>
    <x v="58"/>
    <x v="1"/>
    <x v="11"/>
    <n v="87"/>
    <n v="492.63"/>
    <n v="42858.81"/>
  </r>
  <r>
    <x v="62"/>
    <x v="59"/>
    <x v="4"/>
    <x v="8"/>
    <n v="53"/>
    <n v="128.66"/>
    <n v="6818.98"/>
  </r>
  <r>
    <x v="63"/>
    <x v="60"/>
    <x v="1"/>
    <x v="7"/>
    <n v="42"/>
    <n v="483.21"/>
    <n v="20294.82"/>
  </r>
  <r>
    <x v="64"/>
    <x v="61"/>
    <x v="4"/>
    <x v="9"/>
    <n v="69"/>
    <n v="292.75"/>
    <n v="20199.75"/>
  </r>
  <r>
    <x v="65"/>
    <x v="62"/>
    <x v="1"/>
    <x v="4"/>
    <n v="95"/>
    <n v="382.08"/>
    <n v="36297.599999999999"/>
  </r>
  <r>
    <x v="66"/>
    <x v="63"/>
    <x v="4"/>
    <x v="0"/>
    <n v="10"/>
    <n v="476.25"/>
    <n v="4762.5"/>
  </r>
  <r>
    <x v="67"/>
    <x v="64"/>
    <x v="4"/>
    <x v="6"/>
    <n v="74"/>
    <n v="287.55"/>
    <n v="21278.7"/>
  </r>
  <r>
    <x v="68"/>
    <x v="65"/>
    <x v="0"/>
    <x v="7"/>
    <n v="90"/>
    <n v="457.97"/>
    <n v="41217.300000000003"/>
  </r>
  <r>
    <x v="69"/>
    <x v="66"/>
    <x v="1"/>
    <x v="1"/>
    <n v="10"/>
    <n v="216.33"/>
    <n v="2163.3000000000002"/>
  </r>
  <r>
    <x v="70"/>
    <x v="57"/>
    <x v="4"/>
    <x v="9"/>
    <n v="26"/>
    <n v="349.48"/>
    <n v="9086.48"/>
  </r>
  <r>
    <x v="71"/>
    <x v="67"/>
    <x v="2"/>
    <x v="10"/>
    <n v="34"/>
    <n v="339.91"/>
    <n v="11556.94"/>
  </r>
  <r>
    <x v="72"/>
    <x v="68"/>
    <x v="1"/>
    <x v="10"/>
    <n v="89"/>
    <n v="183.49"/>
    <n v="16330.61"/>
  </r>
  <r>
    <x v="73"/>
    <x v="69"/>
    <x v="0"/>
    <x v="8"/>
    <n v="37"/>
    <n v="438.29"/>
    <n v="16216.73"/>
  </r>
  <r>
    <x v="74"/>
    <x v="27"/>
    <x v="1"/>
    <x v="3"/>
    <n v="82"/>
    <n v="386.31"/>
    <n v="31677.42"/>
  </r>
  <r>
    <x v="75"/>
    <x v="70"/>
    <x v="4"/>
    <x v="6"/>
    <n v="45"/>
    <n v="100.21"/>
    <n v="4509.45"/>
  </r>
  <r>
    <x v="76"/>
    <x v="71"/>
    <x v="1"/>
    <x v="5"/>
    <n v="83"/>
    <n v="408.2"/>
    <n v="33880.6"/>
  </r>
  <r>
    <x v="77"/>
    <x v="72"/>
    <x v="4"/>
    <x v="9"/>
    <n v="55"/>
    <n v="461.37"/>
    <n v="25375.35"/>
  </r>
  <r>
    <x v="78"/>
    <x v="73"/>
    <x v="0"/>
    <x v="3"/>
    <n v="47"/>
    <n v="353.58"/>
    <n v="16618.259999999998"/>
  </r>
  <r>
    <x v="79"/>
    <x v="74"/>
    <x v="3"/>
    <x v="8"/>
    <n v="22"/>
    <n v="396.31"/>
    <n v="8718.82"/>
  </r>
  <r>
    <x v="80"/>
    <x v="75"/>
    <x v="1"/>
    <x v="13"/>
    <n v="51"/>
    <n v="375.31"/>
    <n v="19140.810000000001"/>
  </r>
  <r>
    <x v="81"/>
    <x v="76"/>
    <x v="0"/>
    <x v="8"/>
    <n v="30"/>
    <n v="325.89"/>
    <n v="9776.7000000000007"/>
  </r>
  <r>
    <x v="82"/>
    <x v="77"/>
    <x v="3"/>
    <x v="2"/>
    <n v="14"/>
    <n v="92.75"/>
    <n v="1298.5"/>
  </r>
  <r>
    <x v="83"/>
    <x v="78"/>
    <x v="0"/>
    <x v="10"/>
    <n v="76"/>
    <n v="261.64999999999998"/>
    <n v="19885.400000000001"/>
  </r>
  <r>
    <x v="84"/>
    <x v="79"/>
    <x v="2"/>
    <x v="5"/>
    <n v="86"/>
    <n v="322.14999999999998"/>
    <n v="27704.9"/>
  </r>
  <r>
    <x v="85"/>
    <x v="80"/>
    <x v="0"/>
    <x v="14"/>
    <n v="30"/>
    <n v="462.57"/>
    <n v="13877.1"/>
  </r>
  <r>
    <x v="86"/>
    <x v="81"/>
    <x v="3"/>
    <x v="0"/>
    <n v="70"/>
    <n v="53.93"/>
    <n v="3775.1"/>
  </r>
  <r>
    <x v="87"/>
    <x v="82"/>
    <x v="3"/>
    <x v="13"/>
    <n v="92"/>
    <n v="449.03"/>
    <n v="41310.76"/>
  </r>
  <r>
    <x v="88"/>
    <x v="83"/>
    <x v="3"/>
    <x v="12"/>
    <n v="19"/>
    <n v="351.1"/>
    <n v="6670.9"/>
  </r>
  <r>
    <x v="89"/>
    <x v="84"/>
    <x v="0"/>
    <x v="1"/>
    <n v="57"/>
    <n v="448.9"/>
    <n v="25587.3"/>
  </r>
  <r>
    <x v="90"/>
    <x v="85"/>
    <x v="4"/>
    <x v="12"/>
    <n v="25"/>
    <n v="340.9"/>
    <n v="8522.5"/>
  </r>
  <r>
    <x v="91"/>
    <x v="86"/>
    <x v="2"/>
    <x v="7"/>
    <n v="42"/>
    <n v="356.03"/>
    <n v="14953.26"/>
  </r>
  <r>
    <x v="92"/>
    <x v="87"/>
    <x v="4"/>
    <x v="5"/>
    <n v="94"/>
    <n v="200.92"/>
    <n v="18886.48"/>
  </r>
  <r>
    <x v="93"/>
    <x v="14"/>
    <x v="4"/>
    <x v="8"/>
    <n v="26"/>
    <n v="439.37"/>
    <n v="11423.62"/>
  </r>
  <r>
    <x v="94"/>
    <x v="20"/>
    <x v="0"/>
    <x v="10"/>
    <n v="62"/>
    <n v="466.47"/>
    <n v="28921.14"/>
  </r>
  <r>
    <x v="95"/>
    <x v="88"/>
    <x v="3"/>
    <x v="10"/>
    <n v="42"/>
    <n v="230.95"/>
    <n v="9699.9"/>
  </r>
  <r>
    <x v="96"/>
    <x v="89"/>
    <x v="2"/>
    <x v="14"/>
    <n v="60"/>
    <n v="488.09"/>
    <n v="29285.4"/>
  </r>
  <r>
    <x v="97"/>
    <x v="90"/>
    <x v="3"/>
    <x v="12"/>
    <n v="26"/>
    <n v="135.69999999999999"/>
    <n v="3528.2"/>
  </r>
  <r>
    <x v="98"/>
    <x v="91"/>
    <x v="1"/>
    <x v="7"/>
    <n v="91"/>
    <n v="304.31"/>
    <n v="27692.21"/>
  </r>
  <r>
    <x v="99"/>
    <x v="40"/>
    <x v="1"/>
    <x v="13"/>
    <n v="50"/>
    <n v="339.98"/>
    <n v="16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75F29D-3913-441A-8006-9D00F672CE4B}" name="PivotTable12"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9" firstHeaderRow="1" firstDataRow="1" firstDataCol="1"/>
  <pivotFields count="10">
    <pivotField axis="axisRow"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items count="93">
        <item x="70"/>
        <item x="53"/>
        <item x="26"/>
        <item x="48"/>
        <item x="6"/>
        <item x="88"/>
        <item x="22"/>
        <item x="7"/>
        <item x="78"/>
        <item x="29"/>
        <item x="2"/>
        <item x="67"/>
        <item x="11"/>
        <item x="13"/>
        <item x="63"/>
        <item x="81"/>
        <item x="71"/>
        <item x="87"/>
        <item x="1"/>
        <item x="8"/>
        <item x="10"/>
        <item x="35"/>
        <item x="62"/>
        <item x="0"/>
        <item x="40"/>
        <item x="36"/>
        <item x="16"/>
        <item x="72"/>
        <item x="68"/>
        <item x="28"/>
        <item x="91"/>
        <item x="45"/>
        <item x="12"/>
        <item x="58"/>
        <item x="14"/>
        <item x="27"/>
        <item x="75"/>
        <item x="37"/>
        <item x="44"/>
        <item x="64"/>
        <item x="54"/>
        <item x="17"/>
        <item x="4"/>
        <item x="73"/>
        <item x="9"/>
        <item x="41"/>
        <item x="77"/>
        <item x="21"/>
        <item x="83"/>
        <item x="52"/>
        <item x="43"/>
        <item x="80"/>
        <item x="74"/>
        <item x="5"/>
        <item x="33"/>
        <item x="61"/>
        <item x="31"/>
        <item x="18"/>
        <item x="90"/>
        <item x="19"/>
        <item x="57"/>
        <item x="56"/>
        <item x="51"/>
        <item x="25"/>
        <item x="38"/>
        <item x="89"/>
        <item x="60"/>
        <item x="79"/>
        <item x="24"/>
        <item x="47"/>
        <item x="59"/>
        <item x="69"/>
        <item x="82"/>
        <item x="3"/>
        <item x="39"/>
        <item x="34"/>
        <item x="15"/>
        <item x="66"/>
        <item x="55"/>
        <item x="76"/>
        <item x="32"/>
        <item x="46"/>
        <item x="85"/>
        <item x="50"/>
        <item x="23"/>
        <item x="30"/>
        <item x="86"/>
        <item x="65"/>
        <item x="20"/>
        <item x="84"/>
        <item x="42"/>
        <item x="49"/>
        <item t="default"/>
      </items>
    </pivotField>
    <pivotField axis="axisRow" showAll="0">
      <items count="6">
        <item x="3"/>
        <item x="1"/>
        <item x="0"/>
        <item x="4"/>
        <item x="2"/>
        <item t="default"/>
      </items>
    </pivotField>
    <pivotField showAll="0">
      <items count="16">
        <item x="9"/>
        <item x="13"/>
        <item x="11"/>
        <item x="2"/>
        <item x="7"/>
        <item x="0"/>
        <item x="14"/>
        <item x="6"/>
        <item x="1"/>
        <item x="8"/>
        <item x="12"/>
        <item x="5"/>
        <item x="10"/>
        <item x="4"/>
        <item x="3"/>
        <item t="default"/>
      </items>
    </pivotField>
    <pivotField showAll="0"/>
    <pivotField numFmtId="164" showAll="0"/>
    <pivotField dataField="1" numFmtId="164" showAll="0"/>
    <pivotField showAll="0" defaultSubtotal="0"/>
    <pivotField showAll="0" defaultSubtotal="0"/>
    <pivotField showAll="0" defaultSubtotal="0">
      <items count="4">
        <item x="0"/>
        <item x="1"/>
        <item x="2"/>
        <item x="3"/>
      </items>
    </pivotField>
  </pivotFields>
  <rowFields count="2">
    <field x="2"/>
    <field x="0"/>
  </rowFields>
  <rowItems count="106">
    <i>
      <x/>
    </i>
    <i r="1">
      <x v="3"/>
    </i>
    <i r="1">
      <x v="6"/>
    </i>
    <i r="1">
      <x v="24"/>
    </i>
    <i r="1">
      <x v="30"/>
    </i>
    <i r="1">
      <x v="32"/>
    </i>
    <i r="1">
      <x v="33"/>
    </i>
    <i r="1">
      <x v="57"/>
    </i>
    <i r="1">
      <x v="60"/>
    </i>
    <i r="1">
      <x v="79"/>
    </i>
    <i r="1">
      <x v="82"/>
    </i>
    <i r="1">
      <x v="86"/>
    </i>
    <i r="1">
      <x v="87"/>
    </i>
    <i r="1">
      <x v="88"/>
    </i>
    <i r="1">
      <x v="95"/>
    </i>
    <i r="1">
      <x v="97"/>
    </i>
    <i>
      <x v="1"/>
    </i>
    <i r="1">
      <x v="1"/>
    </i>
    <i r="1">
      <x v="7"/>
    </i>
    <i r="1">
      <x v="10"/>
    </i>
    <i r="1">
      <x v="11"/>
    </i>
    <i r="1">
      <x v="28"/>
    </i>
    <i r="1">
      <x v="37"/>
    </i>
    <i r="1">
      <x v="41"/>
    </i>
    <i r="1">
      <x v="42"/>
    </i>
    <i r="1">
      <x v="44"/>
    </i>
    <i r="1">
      <x v="50"/>
    </i>
    <i r="1">
      <x v="54"/>
    </i>
    <i r="1">
      <x v="55"/>
    </i>
    <i r="1">
      <x v="56"/>
    </i>
    <i r="1">
      <x v="59"/>
    </i>
    <i r="1">
      <x v="61"/>
    </i>
    <i r="1">
      <x v="63"/>
    </i>
    <i r="1">
      <x v="65"/>
    </i>
    <i r="1">
      <x v="69"/>
    </i>
    <i r="1">
      <x v="72"/>
    </i>
    <i r="1">
      <x v="74"/>
    </i>
    <i r="1">
      <x v="76"/>
    </i>
    <i r="1">
      <x v="80"/>
    </i>
    <i r="1">
      <x v="98"/>
    </i>
    <i r="1">
      <x v="99"/>
    </i>
    <i>
      <x v="2"/>
    </i>
    <i r="1">
      <x/>
    </i>
    <i r="1">
      <x v="9"/>
    </i>
    <i r="1">
      <x v="12"/>
    </i>
    <i r="1">
      <x v="15"/>
    </i>
    <i r="1">
      <x v="19"/>
    </i>
    <i r="1">
      <x v="20"/>
    </i>
    <i r="1">
      <x v="27"/>
    </i>
    <i r="1">
      <x v="29"/>
    </i>
    <i r="1">
      <x v="31"/>
    </i>
    <i r="1">
      <x v="35"/>
    </i>
    <i r="1">
      <x v="45"/>
    </i>
    <i r="1">
      <x v="48"/>
    </i>
    <i r="1">
      <x v="49"/>
    </i>
    <i r="1">
      <x v="68"/>
    </i>
    <i r="1">
      <x v="73"/>
    </i>
    <i r="1">
      <x v="78"/>
    </i>
    <i r="1">
      <x v="81"/>
    </i>
    <i r="1">
      <x v="83"/>
    </i>
    <i r="1">
      <x v="85"/>
    </i>
    <i r="1">
      <x v="89"/>
    </i>
    <i r="1">
      <x v="94"/>
    </i>
    <i>
      <x v="3"/>
    </i>
    <i r="1">
      <x v="5"/>
    </i>
    <i r="1">
      <x v="13"/>
    </i>
    <i r="1">
      <x v="17"/>
    </i>
    <i r="1">
      <x v="21"/>
    </i>
    <i r="1">
      <x v="23"/>
    </i>
    <i r="1">
      <x v="38"/>
    </i>
    <i r="1">
      <x v="40"/>
    </i>
    <i r="1">
      <x v="58"/>
    </i>
    <i r="1">
      <x v="62"/>
    </i>
    <i r="1">
      <x v="64"/>
    </i>
    <i r="1">
      <x v="66"/>
    </i>
    <i r="1">
      <x v="67"/>
    </i>
    <i r="1">
      <x v="70"/>
    </i>
    <i r="1">
      <x v="75"/>
    </i>
    <i r="1">
      <x v="77"/>
    </i>
    <i r="1">
      <x v="90"/>
    </i>
    <i r="1">
      <x v="92"/>
    </i>
    <i r="1">
      <x v="93"/>
    </i>
    <i>
      <x v="4"/>
    </i>
    <i r="1">
      <x v="2"/>
    </i>
    <i r="1">
      <x v="4"/>
    </i>
    <i r="1">
      <x v="8"/>
    </i>
    <i r="1">
      <x v="14"/>
    </i>
    <i r="1">
      <x v="16"/>
    </i>
    <i r="1">
      <x v="18"/>
    </i>
    <i r="1">
      <x v="22"/>
    </i>
    <i r="1">
      <x v="25"/>
    </i>
    <i r="1">
      <x v="26"/>
    </i>
    <i r="1">
      <x v="34"/>
    </i>
    <i r="1">
      <x v="36"/>
    </i>
    <i r="1">
      <x v="39"/>
    </i>
    <i r="1">
      <x v="43"/>
    </i>
    <i r="1">
      <x v="46"/>
    </i>
    <i r="1">
      <x v="47"/>
    </i>
    <i r="1">
      <x v="51"/>
    </i>
    <i r="1">
      <x v="52"/>
    </i>
    <i r="1">
      <x v="53"/>
    </i>
    <i r="1">
      <x v="71"/>
    </i>
    <i r="1">
      <x v="84"/>
    </i>
    <i r="1">
      <x v="91"/>
    </i>
    <i r="1">
      <x v="96"/>
    </i>
    <i t="grand">
      <x/>
    </i>
  </rowItems>
  <colItems count="1">
    <i/>
  </colItems>
  <dataFields count="1">
    <dataField name="Sum of Purchase Amount" fld="6" baseField="0" baseItem="0" numFmtId="164"/>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E8D4F0-8570-4B7A-9FF9-53B927BF5DDD}" name="PivotTable10"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20:H36" firstHeaderRow="1" firstDataRow="1" firstDataCol="1"/>
  <pivotFields count="10">
    <pivotField showAll="0"/>
    <pivotField numFmtId="14" showAll="0">
      <items count="93">
        <item x="70"/>
        <item x="53"/>
        <item x="26"/>
        <item x="48"/>
        <item x="6"/>
        <item x="88"/>
        <item x="22"/>
        <item x="7"/>
        <item x="78"/>
        <item x="29"/>
        <item x="2"/>
        <item x="67"/>
        <item x="11"/>
        <item x="13"/>
        <item x="63"/>
        <item x="81"/>
        <item x="71"/>
        <item x="87"/>
        <item x="1"/>
        <item x="8"/>
        <item x="10"/>
        <item x="35"/>
        <item x="62"/>
        <item x="0"/>
        <item x="40"/>
        <item x="36"/>
        <item x="16"/>
        <item x="72"/>
        <item x="68"/>
        <item x="28"/>
        <item x="91"/>
        <item x="45"/>
        <item x="12"/>
        <item x="58"/>
        <item x="14"/>
        <item x="27"/>
        <item x="75"/>
        <item x="37"/>
        <item x="44"/>
        <item x="64"/>
        <item x="54"/>
        <item x="17"/>
        <item x="4"/>
        <item x="73"/>
        <item x="9"/>
        <item x="41"/>
        <item x="77"/>
        <item x="21"/>
        <item x="83"/>
        <item x="52"/>
        <item x="43"/>
        <item x="80"/>
        <item x="74"/>
        <item x="5"/>
        <item x="33"/>
        <item x="61"/>
        <item x="31"/>
        <item x="18"/>
        <item x="90"/>
        <item x="19"/>
        <item x="57"/>
        <item x="56"/>
        <item x="51"/>
        <item x="25"/>
        <item x="38"/>
        <item x="89"/>
        <item x="60"/>
        <item x="79"/>
        <item x="24"/>
        <item x="47"/>
        <item x="59"/>
        <item x="69"/>
        <item x="82"/>
        <item x="3"/>
        <item x="39"/>
        <item x="34"/>
        <item x="15"/>
        <item x="66"/>
        <item x="55"/>
        <item x="76"/>
        <item x="32"/>
        <item x="46"/>
        <item x="85"/>
        <item x="50"/>
        <item x="23"/>
        <item x="30"/>
        <item x="86"/>
        <item x="65"/>
        <item x="20"/>
        <item x="84"/>
        <item x="42"/>
        <item x="49"/>
        <item t="default"/>
      </items>
    </pivotField>
    <pivotField showAll="0">
      <items count="6">
        <item x="3"/>
        <item x="1"/>
        <item x="0"/>
        <item x="4"/>
        <item x="2"/>
        <item t="default"/>
      </items>
    </pivotField>
    <pivotField axis="axisRow" showAll="0">
      <items count="16">
        <item x="9"/>
        <item x="13"/>
        <item x="11"/>
        <item x="2"/>
        <item x="7"/>
        <item x="0"/>
        <item x="14"/>
        <item x="6"/>
        <item x="1"/>
        <item x="8"/>
        <item x="12"/>
        <item x="5"/>
        <item x="10"/>
        <item x="4"/>
        <item x="3"/>
        <item t="default"/>
      </items>
    </pivotField>
    <pivotField showAll="0"/>
    <pivotField numFmtId="164" showAll="0"/>
    <pivotField dataField="1" numFmtId="164" showAll="0"/>
    <pivotField showAll="0" defaultSubtotal="0"/>
    <pivotField showAll="0" defaultSubtotal="0"/>
    <pivotField showAll="0" defaultSubtotal="0">
      <items count="4">
        <item x="0"/>
        <item x="1"/>
        <item x="2"/>
        <item x="3"/>
      </items>
    </pivotField>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Sum of Purchase Amount" fld="6" baseField="0" baseItem="0" numFmtId="164"/>
  </dataFields>
  <conditionalFormats count="1">
    <conditionalFormat type="all" priority="2">
      <pivotAreas count="1">
        <pivotArea type="data" collapsedLevelsAreSubtotals="1" fieldPosition="0">
          <references count="2">
            <reference field="4294967294" count="1" selected="0">
              <x v="0"/>
            </reference>
            <reference field="3" count="1">
              <x v="1"/>
            </reference>
          </references>
        </pivotArea>
      </pivotAreas>
    </conditionalFormat>
  </conditional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730A01-432A-4F34-A7D4-72915D4A1314}" name="PivotTable9"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12:J18" firstHeaderRow="0" firstDataRow="1" firstDataCol="1"/>
  <pivotFields count="10">
    <pivotField showAll="0"/>
    <pivotField numFmtId="14" showAll="0">
      <items count="93">
        <item x="70"/>
        <item x="53"/>
        <item x="26"/>
        <item x="48"/>
        <item x="6"/>
        <item x="88"/>
        <item x="22"/>
        <item x="7"/>
        <item x="78"/>
        <item x="29"/>
        <item x="2"/>
        <item x="67"/>
        <item x="11"/>
        <item x="13"/>
        <item x="63"/>
        <item x="81"/>
        <item x="71"/>
        <item x="87"/>
        <item x="1"/>
        <item x="8"/>
        <item x="10"/>
        <item x="35"/>
        <item x="62"/>
        <item x="0"/>
        <item x="40"/>
        <item x="36"/>
        <item x="16"/>
        <item x="72"/>
        <item x="68"/>
        <item x="28"/>
        <item x="91"/>
        <item x="45"/>
        <item x="12"/>
        <item x="58"/>
        <item x="14"/>
        <item x="27"/>
        <item x="75"/>
        <item x="37"/>
        <item x="44"/>
        <item x="64"/>
        <item x="54"/>
        <item x="17"/>
        <item x="4"/>
        <item x="73"/>
        <item x="9"/>
        <item x="41"/>
        <item x="77"/>
        <item x="21"/>
        <item x="83"/>
        <item x="52"/>
        <item x="43"/>
        <item x="80"/>
        <item x="74"/>
        <item x="5"/>
        <item x="33"/>
        <item x="61"/>
        <item x="31"/>
        <item x="18"/>
        <item x="90"/>
        <item x="19"/>
        <item x="57"/>
        <item x="56"/>
        <item x="51"/>
        <item x="25"/>
        <item x="38"/>
        <item x="89"/>
        <item x="60"/>
        <item x="79"/>
        <item x="24"/>
        <item x="47"/>
        <item x="59"/>
        <item x="69"/>
        <item x="82"/>
        <item x="3"/>
        <item x="39"/>
        <item x="34"/>
        <item x="15"/>
        <item x="66"/>
        <item x="55"/>
        <item x="76"/>
        <item x="32"/>
        <item x="46"/>
        <item x="85"/>
        <item x="50"/>
        <item x="23"/>
        <item x="30"/>
        <item x="86"/>
        <item x="65"/>
        <item x="20"/>
        <item x="84"/>
        <item x="42"/>
        <item x="49"/>
        <item t="default"/>
      </items>
    </pivotField>
    <pivotField axis="axisRow" showAll="0">
      <items count="6">
        <item x="3"/>
        <item x="1"/>
        <item x="0"/>
        <item x="4"/>
        <item x="2"/>
        <item t="default"/>
      </items>
    </pivotField>
    <pivotField showAll="0">
      <items count="16">
        <item x="9"/>
        <item x="13"/>
        <item x="11"/>
        <item x="2"/>
        <item x="7"/>
        <item x="0"/>
        <item x="14"/>
        <item x="6"/>
        <item x="1"/>
        <item x="8"/>
        <item x="12"/>
        <item x="5"/>
        <item x="10"/>
        <item x="4"/>
        <item x="3"/>
        <item t="default"/>
      </items>
    </pivotField>
    <pivotField dataField="1" showAll="0"/>
    <pivotField dataField="1" numFmtId="164" showAll="0"/>
    <pivotField numFmtId="164" showAll="0"/>
    <pivotField showAll="0" defaultSubtotal="0"/>
    <pivotField showAll="0" defaultSubtotal="0"/>
    <pivotField showAll="0" defaultSubtotal="0">
      <items count="4">
        <item x="0"/>
        <item x="1"/>
        <item x="2"/>
        <item x="3"/>
      </items>
    </pivotField>
  </pivotFields>
  <rowFields count="1">
    <field x="2"/>
  </rowFields>
  <rowItems count="6">
    <i>
      <x/>
    </i>
    <i>
      <x v="1"/>
    </i>
    <i>
      <x v="2"/>
    </i>
    <i>
      <x v="3"/>
    </i>
    <i>
      <x v="4"/>
    </i>
    <i t="grand">
      <x/>
    </i>
  </rowItems>
  <colFields count="1">
    <field x="-2"/>
  </colFields>
  <colItems count="3">
    <i>
      <x/>
    </i>
    <i i="1">
      <x v="1"/>
    </i>
    <i i="2">
      <x v="2"/>
    </i>
  </colItems>
  <dataFields count="3">
    <dataField name="Sum of Unit Price" fld="5" baseField="0" baseItem="0" numFmtId="164"/>
    <dataField name="Sum of Quantity Purchased2" fld="4" baseField="2" baseItem="0"/>
    <dataField name="Sum of Quantity Purchased" fld="4" baseField="0" baseItem="0"/>
  </dataFields>
  <chartFormats count="18">
    <chartFormat chart="4" format="25" series="1">
      <pivotArea type="data" outline="0" fieldPosition="0">
        <references count="1">
          <reference field="4294967294" count="1" selected="0">
            <x v="0"/>
          </reference>
        </references>
      </pivotArea>
    </chartFormat>
    <chartFormat chart="4" format="26">
      <pivotArea type="data" outline="0" fieldPosition="0">
        <references count="2">
          <reference field="4294967294" count="1" selected="0">
            <x v="0"/>
          </reference>
          <reference field="2" count="1" selected="0">
            <x v="0"/>
          </reference>
        </references>
      </pivotArea>
    </chartFormat>
    <chartFormat chart="4" format="27">
      <pivotArea type="data" outline="0" fieldPosition="0">
        <references count="2">
          <reference field="4294967294" count="1" selected="0">
            <x v="0"/>
          </reference>
          <reference field="2" count="1" selected="0">
            <x v="1"/>
          </reference>
        </references>
      </pivotArea>
    </chartFormat>
    <chartFormat chart="4" format="28">
      <pivotArea type="data" outline="0" fieldPosition="0">
        <references count="2">
          <reference field="4294967294" count="1" selected="0">
            <x v="0"/>
          </reference>
          <reference field="2" count="1" selected="0">
            <x v="2"/>
          </reference>
        </references>
      </pivotArea>
    </chartFormat>
    <chartFormat chart="4" format="29">
      <pivotArea type="data" outline="0" fieldPosition="0">
        <references count="2">
          <reference field="4294967294" count="1" selected="0">
            <x v="0"/>
          </reference>
          <reference field="2" count="1" selected="0">
            <x v="3"/>
          </reference>
        </references>
      </pivotArea>
    </chartFormat>
    <chartFormat chart="4" format="30">
      <pivotArea type="data" outline="0" fieldPosition="0">
        <references count="2">
          <reference field="4294967294" count="1" selected="0">
            <x v="0"/>
          </reference>
          <reference field="2" count="1" selected="0">
            <x v="4"/>
          </reference>
        </references>
      </pivotArea>
    </chartFormat>
    <chartFormat chart="4" format="31" series="1">
      <pivotArea type="data" outline="0" fieldPosition="0">
        <references count="1">
          <reference field="4294967294" count="1" selected="0">
            <x v="1"/>
          </reference>
        </references>
      </pivotArea>
    </chartFormat>
    <chartFormat chart="4" format="32">
      <pivotArea type="data" outline="0" fieldPosition="0">
        <references count="2">
          <reference field="4294967294" count="1" selected="0">
            <x v="1"/>
          </reference>
          <reference field="2" count="1" selected="0">
            <x v="0"/>
          </reference>
        </references>
      </pivotArea>
    </chartFormat>
    <chartFormat chart="4" format="33">
      <pivotArea type="data" outline="0" fieldPosition="0">
        <references count="2">
          <reference field="4294967294" count="1" selected="0">
            <x v="1"/>
          </reference>
          <reference field="2" count="1" selected="0">
            <x v="1"/>
          </reference>
        </references>
      </pivotArea>
    </chartFormat>
    <chartFormat chart="4" format="34">
      <pivotArea type="data" outline="0" fieldPosition="0">
        <references count="2">
          <reference field="4294967294" count="1" selected="0">
            <x v="1"/>
          </reference>
          <reference field="2" count="1" selected="0">
            <x v="2"/>
          </reference>
        </references>
      </pivotArea>
    </chartFormat>
    <chartFormat chart="4" format="35">
      <pivotArea type="data" outline="0" fieldPosition="0">
        <references count="2">
          <reference field="4294967294" count="1" selected="0">
            <x v="1"/>
          </reference>
          <reference field="2" count="1" selected="0">
            <x v="3"/>
          </reference>
        </references>
      </pivotArea>
    </chartFormat>
    <chartFormat chart="4" format="36">
      <pivotArea type="data" outline="0" fieldPosition="0">
        <references count="2">
          <reference field="4294967294" count="1" selected="0">
            <x v="1"/>
          </reference>
          <reference field="2" count="1" selected="0">
            <x v="4"/>
          </reference>
        </references>
      </pivotArea>
    </chartFormat>
    <chartFormat chart="4" format="37" series="1">
      <pivotArea type="data" outline="0" fieldPosition="0">
        <references count="1">
          <reference field="4294967294" count="1" selected="0">
            <x v="2"/>
          </reference>
        </references>
      </pivotArea>
    </chartFormat>
    <chartFormat chart="4" format="38">
      <pivotArea type="data" outline="0" fieldPosition="0">
        <references count="2">
          <reference field="4294967294" count="1" selected="0">
            <x v="2"/>
          </reference>
          <reference field="2" count="1" selected="0">
            <x v="0"/>
          </reference>
        </references>
      </pivotArea>
    </chartFormat>
    <chartFormat chart="4" format="39">
      <pivotArea type="data" outline="0" fieldPosition="0">
        <references count="2">
          <reference field="4294967294" count="1" selected="0">
            <x v="2"/>
          </reference>
          <reference field="2" count="1" selected="0">
            <x v="1"/>
          </reference>
        </references>
      </pivotArea>
    </chartFormat>
    <chartFormat chart="4" format="40">
      <pivotArea type="data" outline="0" fieldPosition="0">
        <references count="2">
          <reference field="4294967294" count="1" selected="0">
            <x v="2"/>
          </reference>
          <reference field="2" count="1" selected="0">
            <x v="2"/>
          </reference>
        </references>
      </pivotArea>
    </chartFormat>
    <chartFormat chart="4" format="41">
      <pivotArea type="data" outline="0" fieldPosition="0">
        <references count="2">
          <reference field="4294967294" count="1" selected="0">
            <x v="2"/>
          </reference>
          <reference field="2" count="1" selected="0">
            <x v="3"/>
          </reference>
        </references>
      </pivotArea>
    </chartFormat>
    <chartFormat chart="4" format="42">
      <pivotArea type="data" outline="0" fieldPosition="0">
        <references count="2">
          <reference field="4294967294" count="1" selected="0">
            <x v="2"/>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818F89-3FB5-4FE0-A1A8-ACB0BF21E452}" name="PivotTable7"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4:H10" firstHeaderRow="1" firstDataRow="1" firstDataCol="1"/>
  <pivotFields count="10">
    <pivotField showAll="0"/>
    <pivotField numFmtId="14" showAll="0">
      <items count="93">
        <item x="70"/>
        <item x="53"/>
        <item x="26"/>
        <item x="48"/>
        <item x="6"/>
        <item x="88"/>
        <item x="22"/>
        <item x="7"/>
        <item x="78"/>
        <item x="29"/>
        <item x="2"/>
        <item x="67"/>
        <item x="11"/>
        <item x="13"/>
        <item x="63"/>
        <item x="81"/>
        <item x="71"/>
        <item x="87"/>
        <item x="1"/>
        <item x="8"/>
        <item x="10"/>
        <item x="35"/>
        <item x="62"/>
        <item x="0"/>
        <item x="40"/>
        <item x="36"/>
        <item x="16"/>
        <item x="72"/>
        <item x="68"/>
        <item x="28"/>
        <item x="91"/>
        <item x="45"/>
        <item x="12"/>
        <item x="58"/>
        <item x="14"/>
        <item x="27"/>
        <item x="75"/>
        <item x="37"/>
        <item x="44"/>
        <item x="64"/>
        <item x="54"/>
        <item x="17"/>
        <item x="4"/>
        <item x="73"/>
        <item x="9"/>
        <item x="41"/>
        <item x="77"/>
        <item x="21"/>
        <item x="83"/>
        <item x="52"/>
        <item x="43"/>
        <item x="80"/>
        <item x="74"/>
        <item x="5"/>
        <item x="33"/>
        <item x="61"/>
        <item x="31"/>
        <item x="18"/>
        <item x="90"/>
        <item x="19"/>
        <item x="57"/>
        <item x="56"/>
        <item x="51"/>
        <item x="25"/>
        <item x="38"/>
        <item x="89"/>
        <item x="60"/>
        <item x="79"/>
        <item x="24"/>
        <item x="47"/>
        <item x="59"/>
        <item x="69"/>
        <item x="82"/>
        <item x="3"/>
        <item x="39"/>
        <item x="34"/>
        <item x="15"/>
        <item x="66"/>
        <item x="55"/>
        <item x="76"/>
        <item x="32"/>
        <item x="46"/>
        <item x="85"/>
        <item x="50"/>
        <item x="23"/>
        <item x="30"/>
        <item x="86"/>
        <item x="65"/>
        <item x="20"/>
        <item x="84"/>
        <item x="42"/>
        <item x="49"/>
        <item t="default"/>
      </items>
    </pivotField>
    <pivotField axis="axisRow" showAll="0" sortType="descending">
      <items count="6">
        <item x="3"/>
        <item x="1"/>
        <item x="0"/>
        <item x="4"/>
        <item x="2"/>
        <item t="default"/>
      </items>
      <autoSortScope>
        <pivotArea dataOnly="0" outline="0" fieldPosition="0">
          <references count="1">
            <reference field="4294967294" count="1" selected="0">
              <x v="0"/>
            </reference>
          </references>
        </pivotArea>
      </autoSortScope>
    </pivotField>
    <pivotField showAll="0">
      <items count="16">
        <item x="9"/>
        <item x="13"/>
        <item x="11"/>
        <item x="2"/>
        <item x="7"/>
        <item x="0"/>
        <item x="14"/>
        <item x="6"/>
        <item x="1"/>
        <item x="8"/>
        <item x="12"/>
        <item x="5"/>
        <item x="10"/>
        <item x="4"/>
        <item x="3"/>
        <item t="default"/>
      </items>
    </pivotField>
    <pivotField showAll="0"/>
    <pivotField numFmtId="164" showAll="0"/>
    <pivotField dataField="1" numFmtId="164" showAll="0"/>
    <pivotField showAll="0" defaultSubtotal="0"/>
    <pivotField showAll="0" defaultSubtotal="0"/>
    <pivotField showAll="0" defaultSubtotal="0">
      <items count="4">
        <item x="0"/>
        <item x="1"/>
        <item x="2"/>
        <item x="3"/>
      </items>
    </pivotField>
  </pivotFields>
  <rowFields count="1">
    <field x="2"/>
  </rowFields>
  <rowItems count="6">
    <i>
      <x v="1"/>
    </i>
    <i>
      <x v="4"/>
    </i>
    <i>
      <x v="2"/>
    </i>
    <i>
      <x v="3"/>
    </i>
    <i>
      <x/>
    </i>
    <i t="grand">
      <x/>
    </i>
  </rowItems>
  <colItems count="1">
    <i/>
  </colItems>
  <dataFields count="1">
    <dataField name="Sum of Purchase Amount" fld="6"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052031-2FAB-4921-881B-1E7BF323A263}" name="PivotTable6"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1:E34" firstHeaderRow="1" firstDataRow="1" firstDataCol="1"/>
  <pivotFields count="10">
    <pivotField showAll="0"/>
    <pivotField numFmtId="14" showAll="0">
      <items count="93">
        <item x="70"/>
        <item x="53"/>
        <item x="26"/>
        <item x="48"/>
        <item x="6"/>
        <item x="88"/>
        <item x="22"/>
        <item x="7"/>
        <item x="78"/>
        <item x="29"/>
        <item x="2"/>
        <item x="67"/>
        <item x="11"/>
        <item x="13"/>
        <item x="63"/>
        <item x="81"/>
        <item x="71"/>
        <item x="87"/>
        <item x="1"/>
        <item x="8"/>
        <item x="10"/>
        <item x="35"/>
        <item x="62"/>
        <item x="0"/>
        <item x="40"/>
        <item x="36"/>
        <item x="16"/>
        <item x="72"/>
        <item x="68"/>
        <item x="28"/>
        <item x="91"/>
        <item x="45"/>
        <item x="12"/>
        <item x="58"/>
        <item x="14"/>
        <item x="27"/>
        <item x="75"/>
        <item x="37"/>
        <item x="44"/>
        <item x="64"/>
        <item x="54"/>
        <item x="17"/>
        <item x="4"/>
        <item x="73"/>
        <item x="9"/>
        <item x="41"/>
        <item x="77"/>
        <item x="21"/>
        <item x="83"/>
        <item x="52"/>
        <item x="43"/>
        <item x="80"/>
        <item x="74"/>
        <item x="5"/>
        <item x="33"/>
        <item x="61"/>
        <item x="31"/>
        <item x="18"/>
        <item x="90"/>
        <item x="19"/>
        <item x="57"/>
        <item x="56"/>
        <item x="51"/>
        <item x="25"/>
        <item x="38"/>
        <item x="89"/>
        <item x="60"/>
        <item x="79"/>
        <item x="24"/>
        <item x="47"/>
        <item x="59"/>
        <item x="69"/>
        <item x="82"/>
        <item x="3"/>
        <item x="39"/>
        <item x="34"/>
        <item x="15"/>
        <item x="66"/>
        <item x="55"/>
        <item x="76"/>
        <item x="32"/>
        <item x="46"/>
        <item x="85"/>
        <item x="50"/>
        <item x="23"/>
        <item x="30"/>
        <item x="86"/>
        <item x="65"/>
        <item x="20"/>
        <item x="84"/>
        <item x="42"/>
        <item x="49"/>
        <item t="default"/>
      </items>
    </pivotField>
    <pivotField showAll="0">
      <items count="6">
        <item x="3"/>
        <item x="1"/>
        <item x="0"/>
        <item x="4"/>
        <item x="2"/>
        <item t="default"/>
      </items>
    </pivotField>
    <pivotField showAll="0">
      <items count="16">
        <item x="9"/>
        <item x="13"/>
        <item x="11"/>
        <item x="2"/>
        <item x="7"/>
        <item x="0"/>
        <item x="14"/>
        <item x="6"/>
        <item x="1"/>
        <item x="8"/>
        <item x="12"/>
        <item x="5"/>
        <item x="10"/>
        <item x="4"/>
        <item x="3"/>
        <item t="default"/>
      </items>
    </pivotField>
    <pivotField showAll="0"/>
    <pivotField numFmtId="164"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x="0"/>
        <item x="1"/>
        <item x="2"/>
        <item x="3"/>
        <item t="default"/>
      </items>
    </pivotField>
  </pivotFields>
  <rowFields count="2">
    <field x="9"/>
    <field x="7"/>
  </rowFields>
  <rowItems count="23">
    <i>
      <x v="1"/>
    </i>
    <i r="1">
      <x v="1"/>
    </i>
    <i r="1">
      <x v="2"/>
    </i>
    <i r="1">
      <x v="3"/>
    </i>
    <i r="1">
      <x v="4"/>
    </i>
    <i r="1">
      <x v="5"/>
    </i>
    <i r="1">
      <x v="6"/>
    </i>
    <i r="1">
      <x v="7"/>
    </i>
    <i r="1">
      <x v="8"/>
    </i>
    <i r="1">
      <x v="9"/>
    </i>
    <i r="1">
      <x v="10"/>
    </i>
    <i r="1">
      <x v="11"/>
    </i>
    <i r="1">
      <x v="12"/>
    </i>
    <i>
      <x v="2"/>
    </i>
    <i r="1">
      <x v="1"/>
    </i>
    <i r="1">
      <x v="2"/>
    </i>
    <i r="1">
      <x v="3"/>
    </i>
    <i r="1">
      <x v="4"/>
    </i>
    <i r="1">
      <x v="5"/>
    </i>
    <i r="1">
      <x v="6"/>
    </i>
    <i r="1">
      <x v="7"/>
    </i>
    <i r="1">
      <x v="8"/>
    </i>
    <i t="grand">
      <x/>
    </i>
  </rowItems>
  <colItems count="1">
    <i/>
  </colItems>
  <dataFields count="1">
    <dataField name="Sum of Purchase Amount" fld="6"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80E6C5-30A3-4A30-9B72-1AC2901E620A}"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9:B10" firstHeaderRow="1" firstDataRow="1" firstDataCol="0"/>
  <pivotFields count="1">
    <pivotField dataField="1" showAll="0"/>
  </pivotFields>
  <rowItems count="1">
    <i/>
  </rowItems>
  <colItems count="1">
    <i/>
  </colItems>
  <dataFields count="1">
    <dataField name="Average of Unit Price" fld="0" subtotal="average" baseField="0" baseItem="0"/>
  </dataFields>
  <formats count="3">
    <format dxfId="5">
      <pivotArea type="all" dataOnly="0" outline="0" fieldPosition="0"/>
    </format>
    <format dxfId="4">
      <pivotArea outline="0" collapsedLevelsAreSubtotals="1" fieldPosition="0"/>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1864B1-9E8F-4676-B805-64C271815954}"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6:D7" firstHeaderRow="1" firstDataRow="1" firstDataCol="0"/>
  <pivotFields count="1">
    <pivotField dataField="1"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s>
  <rowItems count="1">
    <i/>
  </rowItems>
  <colItems count="1">
    <i/>
  </colItems>
  <dataFields count="1">
    <dataField name="Count of PO ID" fld="0" subtotal="count" baseField="0" baseItem="0"/>
  </dataFields>
  <formats count="3">
    <format dxfId="8">
      <pivotArea type="all" dataOnly="0" outline="0" fieldPosition="0"/>
    </format>
    <format dxfId="7">
      <pivotArea outline="0" collapsedLevelsAreSubtotals="1"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2DEFEC-417F-4AF9-8988-082CAC8F914A}"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6:B7" firstHeaderRow="1" firstDataRow="1" firstDataCol="0"/>
  <pivotFields count="1">
    <pivotField dataField="1" numFmtId="164" showAll="0"/>
  </pivotFields>
  <rowItems count="1">
    <i/>
  </rowItems>
  <colItems count="1">
    <i/>
  </colItems>
  <dataFields count="1">
    <dataField name="Average of Purchase Amount" fld="0" subtotal="average" baseField="0" baseItem="0" numFmtId="164"/>
  </dataFields>
  <formats count="3">
    <format dxfId="11">
      <pivotArea type="all" dataOnly="0" outline="0" fieldPosition="0"/>
    </format>
    <format dxfId="10">
      <pivotArea outline="0" collapsedLevelsAreSubtotals="1" fieldPosition="0"/>
    </format>
    <format dxfId="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0DFBBA-00C0-4C0B-AB13-194C2F5F5F54}"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3:D4" firstHeaderRow="1" firstDataRow="1" firstDataCol="0"/>
  <pivotFields count="1">
    <pivotField dataField="1" showAll="0"/>
  </pivotFields>
  <rowItems count="1">
    <i/>
  </rowItems>
  <colItems count="1">
    <i/>
  </colItems>
  <dataFields count="1">
    <dataField name="Sum of Quantity Purchased" fld="0" baseField="0" baseItem="0"/>
  </dataFields>
  <formats count="3">
    <format dxfId="14">
      <pivotArea type="all" dataOnly="0" outline="0" fieldPosition="0"/>
    </format>
    <format dxfId="13">
      <pivotArea outline="0" collapsedLevelsAreSubtotals="1"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8B937C8-E51F-4513-88C0-A4EA1C423F9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3:B4" firstHeaderRow="1" firstDataRow="1" firstDataCol="0"/>
  <pivotFields count="1">
    <pivotField dataField="1" showAll="0"/>
  </pivotFields>
  <rowItems count="1">
    <i/>
  </rowItems>
  <colItems count="1">
    <i/>
  </colItems>
  <dataFields count="1">
    <dataField name="Sum of Purchase Amount" fld="0" baseField="0" baseItem="0"/>
  </dataFields>
  <formats count="3">
    <format dxfId="17">
      <pivotArea type="all" dataOnly="0" outline="0" fieldPosition="0"/>
    </format>
    <format dxfId="16">
      <pivotArea outline="0" collapsedLevelsAreSubtotals="1" fieldPosition="0"/>
    </format>
    <format dxfId="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55B71579-2B1F-49A7-ADBC-981718BCCB84}" sourceName="Date">
  <pivotTables>
    <pivotTable tabId="3" name="PivotTable10"/>
    <pivotTable tabId="3" name="PivotTable6"/>
    <pivotTable tabId="3" name="PivotTable7"/>
    <pivotTable tabId="3" name="PivotTable9"/>
    <pivotTable tabId="5" name="PivotTable12"/>
  </pivotTables>
  <data>
    <tabular pivotCacheId="1744748892">
      <items count="92">
        <i x="70" s="1"/>
        <i x="53" s="1"/>
        <i x="26" s="1"/>
        <i x="48" s="1"/>
        <i x="6" s="1"/>
        <i x="88" s="1"/>
        <i x="22" s="1"/>
        <i x="7" s="1"/>
        <i x="78" s="1"/>
        <i x="29" s="1"/>
        <i x="2" s="1"/>
        <i x="67" s="1"/>
        <i x="11" s="1"/>
        <i x="13" s="1"/>
        <i x="63" s="1"/>
        <i x="81" s="1"/>
        <i x="71" s="1"/>
        <i x="87" s="1"/>
        <i x="1" s="1"/>
        <i x="8" s="1"/>
        <i x="10" s="1"/>
        <i x="35" s="1"/>
        <i x="62" s="1"/>
        <i x="0" s="1"/>
        <i x="40" s="1"/>
        <i x="36" s="1"/>
        <i x="16" s="1"/>
        <i x="72" s="1"/>
        <i x="68" s="1"/>
        <i x="28" s="1"/>
        <i x="91" s="1"/>
        <i x="45" s="1"/>
        <i x="12" s="1"/>
        <i x="58" s="1"/>
        <i x="14" s="1"/>
        <i x="27" s="1"/>
        <i x="75" s="1"/>
        <i x="37" s="1"/>
        <i x="44" s="1"/>
        <i x="64" s="1"/>
        <i x="54" s="1"/>
        <i x="17" s="1"/>
        <i x="4" s="1"/>
        <i x="73" s="1"/>
        <i x="9" s="1"/>
        <i x="41" s="1"/>
        <i x="77" s="1"/>
        <i x="21" s="1"/>
        <i x="83" s="1"/>
        <i x="52" s="1"/>
        <i x="43" s="1"/>
        <i x="80" s="1"/>
        <i x="74" s="1"/>
        <i x="5" s="1"/>
        <i x="33" s="1"/>
        <i x="61" s="1"/>
        <i x="31" s="1"/>
        <i x="18" s="1"/>
        <i x="90" s="1"/>
        <i x="19" s="1"/>
        <i x="57" s="1"/>
        <i x="56" s="1"/>
        <i x="51" s="1"/>
        <i x="25" s="1"/>
        <i x="38" s="1"/>
        <i x="89" s="1"/>
        <i x="60" s="1"/>
        <i x="79" s="1"/>
        <i x="24" s="1"/>
        <i x="47" s="1"/>
        <i x="59" s="1"/>
        <i x="69" s="1"/>
        <i x="82" s="1"/>
        <i x="3" s="1"/>
        <i x="39" s="1"/>
        <i x="34" s="1"/>
        <i x="15" s="1"/>
        <i x="66" s="1"/>
        <i x="55" s="1"/>
        <i x="76" s="1"/>
        <i x="32" s="1"/>
        <i x="46" s="1"/>
        <i x="85" s="1"/>
        <i x="50" s="1"/>
        <i x="23" s="1"/>
        <i x="30" s="1"/>
        <i x="86" s="1"/>
        <i x="65" s="1"/>
        <i x="20" s="1"/>
        <i x="84" s="1"/>
        <i x="42" s="1"/>
        <i x="4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DEC2AD0-9F66-48CD-90A4-DDA89E3699B3}" sourceName="Product">
  <pivotTables>
    <pivotTable tabId="3" name="PivotTable9"/>
    <pivotTable tabId="3" name="PivotTable10"/>
    <pivotTable tabId="3" name="PivotTable6"/>
    <pivotTable tabId="3" name="PivotTable7"/>
    <pivotTable tabId="5" name="PivotTable12"/>
  </pivotTables>
  <data>
    <tabular pivotCacheId="1744748892">
      <items count="15">
        <i x="9" s="1"/>
        <i x="13" s="1"/>
        <i x="11" s="1"/>
        <i x="2" s="1"/>
        <i x="7" s="1"/>
        <i x="0" s="1"/>
        <i x="14" s="1"/>
        <i x="6" s="1"/>
        <i x="1" s="1"/>
        <i x="8" s="1"/>
        <i x="12" s="1"/>
        <i x="5" s="1"/>
        <i x="10"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F9FEBAA8-830D-4E3C-87D5-686210061909}" sourceName="Supplier">
  <pivotTables>
    <pivotTable tabId="3" name="PivotTable10"/>
    <pivotTable tabId="3" name="PivotTable6"/>
    <pivotTable tabId="3" name="PivotTable7"/>
    <pivotTable tabId="3" name="PivotTable9"/>
    <pivotTable tabId="5" name="PivotTable12"/>
  </pivotTables>
  <data>
    <tabular pivotCacheId="1744748892">
      <items count="5">
        <i x="3" s="1"/>
        <i x="1" s="1"/>
        <i x="0"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BAC94527-2265-4969-800D-1336880C3523}" cache="Slicer_Date" caption="Date" rowHeight="241300"/>
  <slicer name="Product" xr10:uid="{C7A1FEF7-7AAF-4DFE-9AC6-2773FB614562}" cache="Slicer_Product" caption="Product" rowHeight="241300"/>
  <slicer name="Supplier" xr10:uid="{B95C44F4-DEB1-49EF-B603-1F9FED9C8C5C}" cache="Slicer_Supplier" caption="Suppli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AC646A-2149-4B5A-857A-B3A8EFA3712C}" name="Table1" displayName="Table1" ref="A1:G101" totalsRowShown="0" headerRowBorderDxfId="26" tableBorderDxfId="25">
  <autoFilter ref="A1:G101" xr:uid="{03AC646A-2149-4B5A-857A-B3A8EFA3712C}"/>
  <tableColumns count="7">
    <tableColumn id="1" xr3:uid="{ABA839E5-3F1F-40C8-82AB-8B77DE5969D4}" name="PO ID"/>
    <tableColumn id="2" xr3:uid="{8F4501D0-F0D5-41B6-ADB3-5464C8310EFD}" name="Date" dataDxfId="24"/>
    <tableColumn id="3" xr3:uid="{768A750C-9E33-4FA2-8D9E-21AF181EB529}" name="Supplier" dataDxfId="23"/>
    <tableColumn id="4" xr3:uid="{FCD2DC33-7037-40D2-B1A6-0991D723E7DF}" name="Product"/>
    <tableColumn id="5" xr3:uid="{24118BE9-2DEC-4FD8-AA89-71DF9448F062}" name="Quantity Purchased"/>
    <tableColumn id="6" xr3:uid="{E718ADC1-6FC8-4477-9356-1AD0A3338341}" name="Unit Price" dataDxfId="22"/>
    <tableColumn id="7" xr3:uid="{44BF689B-06E7-4AE8-A083-E2476EF942AD}" name="Purchase Amount" dataDxfId="21"/>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54B4A2-45DA-4FA2-AFFE-BF6615F5147D}" name="Table2" displayName="Table2" ref="A1:E6" totalsRowShown="0" headerRowDxfId="20" headerRowBorderDxfId="19" tableBorderDxfId="18">
  <autoFilter ref="A1:E6" xr:uid="{F254B4A2-45DA-4FA2-AFFE-BF6615F5147D}"/>
  <tableColumns count="5">
    <tableColumn id="1" xr3:uid="{DDD3FF44-5D58-4E51-9DF1-4C1D457E3624}" name="Supplier"/>
    <tableColumn id="2" xr3:uid="{DD9ADA03-F8CA-4514-9622-61A46481CDE2}" name="Contact Person"/>
    <tableColumn id="3" xr3:uid="{14FBDDC9-1C89-4FEC-8E39-8BC0A01825A5}" name="Phone"/>
    <tableColumn id="4" xr3:uid="{80D30A16-C466-467F-B4B3-3EBED3DB75FC}" name="Email"/>
    <tableColumn id="5" xr3:uid="{84F68D76-F5F6-4DE5-8320-258E55DE165F}" name="Location"/>
  </tableColumns>
  <tableStyleInfo name="TableStyleMedium10"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1"/>
  <sheetViews>
    <sheetView topLeftCell="A87" workbookViewId="0">
      <selection activeCell="H8" sqref="H8"/>
    </sheetView>
  </sheetViews>
  <sheetFormatPr defaultRowHeight="14.5" x14ac:dyDescent="0.35"/>
  <cols>
    <col min="2" max="2" width="12.5" style="1" customWidth="1"/>
    <col min="3" max="3" width="18" style="2" customWidth="1"/>
    <col min="4" max="4" width="13.1640625" customWidth="1"/>
    <col min="5" max="5" width="19.33203125" customWidth="1"/>
    <col min="6" max="6" width="13" style="3" customWidth="1"/>
    <col min="7" max="7" width="17.6640625" style="3" customWidth="1"/>
    <col min="9" max="9" width="11.6640625" bestFit="1" customWidth="1"/>
  </cols>
  <sheetData>
    <row r="1" spans="1:7" x14ac:dyDescent="0.35">
      <c r="A1" s="4" t="s">
        <v>0</v>
      </c>
      <c r="B1" s="5" t="s">
        <v>1</v>
      </c>
      <c r="C1" s="6" t="s">
        <v>2</v>
      </c>
      <c r="D1" s="4" t="s">
        <v>3</v>
      </c>
      <c r="E1" s="4" t="s">
        <v>4</v>
      </c>
      <c r="F1" s="7" t="s">
        <v>5</v>
      </c>
      <c r="G1" s="7" t="s">
        <v>6</v>
      </c>
    </row>
    <row r="2" spans="1:7" x14ac:dyDescent="0.35">
      <c r="A2" t="s">
        <v>7</v>
      </c>
      <c r="B2" s="1">
        <v>45098</v>
      </c>
      <c r="C2" s="2" t="s">
        <v>8</v>
      </c>
      <c r="D2" t="s">
        <v>9</v>
      </c>
      <c r="E2">
        <v>84</v>
      </c>
      <c r="F2" s="3">
        <v>132.16999999999999</v>
      </c>
      <c r="G2" s="3">
        <v>11102.28</v>
      </c>
    </row>
    <row r="3" spans="1:7" x14ac:dyDescent="0.35">
      <c r="A3" t="s">
        <v>10</v>
      </c>
      <c r="B3" s="1">
        <v>45081</v>
      </c>
      <c r="C3" s="2" t="s">
        <v>11</v>
      </c>
      <c r="D3" t="s">
        <v>12</v>
      </c>
      <c r="E3">
        <v>95</v>
      </c>
      <c r="F3" s="3">
        <v>356.74</v>
      </c>
      <c r="G3" s="3">
        <v>33890.300000000003</v>
      </c>
    </row>
    <row r="4" spans="1:7" x14ac:dyDescent="0.35">
      <c r="A4" t="s">
        <v>13</v>
      </c>
      <c r="B4" s="1">
        <v>45045</v>
      </c>
      <c r="C4" s="2" t="s">
        <v>14</v>
      </c>
      <c r="D4" t="s">
        <v>15</v>
      </c>
      <c r="E4">
        <v>11</v>
      </c>
      <c r="F4" s="3">
        <v>248.62</v>
      </c>
      <c r="G4" s="3">
        <v>2734.82</v>
      </c>
    </row>
    <row r="5" spans="1:7" x14ac:dyDescent="0.35">
      <c r="A5" t="s">
        <v>16</v>
      </c>
      <c r="B5" s="1">
        <v>45381</v>
      </c>
      <c r="C5" s="2" t="s">
        <v>17</v>
      </c>
      <c r="D5" t="s">
        <v>18</v>
      </c>
      <c r="E5">
        <v>31</v>
      </c>
      <c r="F5" s="3">
        <v>481.17</v>
      </c>
      <c r="G5" s="3">
        <v>14916.27</v>
      </c>
    </row>
    <row r="6" spans="1:7" x14ac:dyDescent="0.35">
      <c r="A6" t="s">
        <v>19</v>
      </c>
      <c r="B6" s="1">
        <v>45187</v>
      </c>
      <c r="C6" s="2" t="s">
        <v>14</v>
      </c>
      <c r="D6" t="s">
        <v>20</v>
      </c>
      <c r="E6">
        <v>20</v>
      </c>
      <c r="F6" s="3">
        <v>359.25</v>
      </c>
      <c r="G6" s="3">
        <v>7185</v>
      </c>
    </row>
    <row r="7" spans="1:7" x14ac:dyDescent="0.35">
      <c r="A7" t="s">
        <v>21</v>
      </c>
      <c r="B7" s="1">
        <v>45239</v>
      </c>
      <c r="C7" s="2" t="s">
        <v>22</v>
      </c>
      <c r="D7" t="s">
        <v>12</v>
      </c>
      <c r="E7">
        <v>97</v>
      </c>
      <c r="F7" s="3">
        <v>197.09</v>
      </c>
      <c r="G7" s="3">
        <v>19117.73</v>
      </c>
    </row>
    <row r="8" spans="1:7" x14ac:dyDescent="0.35">
      <c r="A8" t="s">
        <v>23</v>
      </c>
      <c r="B8" s="1">
        <v>44961</v>
      </c>
      <c r="C8" s="2" t="s">
        <v>17</v>
      </c>
      <c r="D8" t="s">
        <v>18</v>
      </c>
      <c r="E8">
        <v>93</v>
      </c>
      <c r="F8" s="3">
        <v>215.15</v>
      </c>
      <c r="G8" s="3">
        <v>20008.95</v>
      </c>
    </row>
    <row r="9" spans="1:7" x14ac:dyDescent="0.35">
      <c r="A9" t="s">
        <v>24</v>
      </c>
      <c r="B9" s="1">
        <v>44998</v>
      </c>
      <c r="C9" s="2" t="s">
        <v>11</v>
      </c>
      <c r="D9" t="s">
        <v>25</v>
      </c>
      <c r="E9">
        <v>53</v>
      </c>
      <c r="F9" s="3">
        <v>452.65</v>
      </c>
      <c r="G9" s="3">
        <v>23990.45</v>
      </c>
    </row>
    <row r="10" spans="1:7" x14ac:dyDescent="0.35">
      <c r="A10" t="s">
        <v>26</v>
      </c>
      <c r="B10" s="1">
        <v>45083</v>
      </c>
      <c r="C10" s="2" t="s">
        <v>14</v>
      </c>
      <c r="D10" t="s">
        <v>27</v>
      </c>
      <c r="E10">
        <v>41</v>
      </c>
      <c r="F10" s="3">
        <v>349.31</v>
      </c>
      <c r="G10" s="3">
        <v>14321.71</v>
      </c>
    </row>
    <row r="11" spans="1:7" x14ac:dyDescent="0.35">
      <c r="A11" t="s">
        <v>28</v>
      </c>
      <c r="B11" s="1">
        <v>45207</v>
      </c>
      <c r="C11" s="2" t="s">
        <v>8</v>
      </c>
      <c r="D11" t="s">
        <v>9</v>
      </c>
      <c r="E11">
        <v>46</v>
      </c>
      <c r="F11" s="3">
        <v>169.89</v>
      </c>
      <c r="G11" s="3">
        <v>7814.94</v>
      </c>
    </row>
    <row r="12" spans="1:7" x14ac:dyDescent="0.35">
      <c r="A12" t="s">
        <v>29</v>
      </c>
      <c r="B12" s="1">
        <v>45084</v>
      </c>
      <c r="C12" s="2" t="s">
        <v>11</v>
      </c>
      <c r="D12" t="s">
        <v>27</v>
      </c>
      <c r="E12">
        <v>83</v>
      </c>
      <c r="F12" s="3">
        <v>272.49</v>
      </c>
      <c r="G12" s="3">
        <v>22616.67</v>
      </c>
    </row>
    <row r="13" spans="1:7" x14ac:dyDescent="0.35">
      <c r="A13" t="s">
        <v>30</v>
      </c>
      <c r="B13" s="1">
        <v>45061</v>
      </c>
      <c r="C13" s="2" t="s">
        <v>11</v>
      </c>
      <c r="D13" t="s">
        <v>25</v>
      </c>
      <c r="E13">
        <v>71</v>
      </c>
      <c r="F13" s="3">
        <v>139.07</v>
      </c>
      <c r="G13" s="3">
        <v>9873.9699999999993</v>
      </c>
    </row>
    <row r="14" spans="1:7" x14ac:dyDescent="0.35">
      <c r="A14" t="s">
        <v>31</v>
      </c>
      <c r="B14" s="1">
        <v>45158</v>
      </c>
      <c r="C14" s="2" t="s">
        <v>8</v>
      </c>
      <c r="D14" t="s">
        <v>18</v>
      </c>
      <c r="E14">
        <v>43</v>
      </c>
      <c r="F14" s="3">
        <v>498.81</v>
      </c>
      <c r="G14" s="3">
        <v>21448.83</v>
      </c>
    </row>
    <row r="15" spans="1:7" x14ac:dyDescent="0.35">
      <c r="A15" t="s">
        <v>32</v>
      </c>
      <c r="B15" s="1">
        <v>45066</v>
      </c>
      <c r="C15" s="2" t="s">
        <v>22</v>
      </c>
      <c r="D15" t="s">
        <v>33</v>
      </c>
      <c r="E15">
        <v>41</v>
      </c>
      <c r="F15" s="3">
        <v>88.04</v>
      </c>
      <c r="G15" s="3">
        <v>3609.64</v>
      </c>
    </row>
    <row r="16" spans="1:7" x14ac:dyDescent="0.35">
      <c r="A16" t="s">
        <v>34</v>
      </c>
      <c r="B16" s="1">
        <v>45162</v>
      </c>
      <c r="C16" s="2" t="s">
        <v>14</v>
      </c>
      <c r="D16" t="s">
        <v>25</v>
      </c>
      <c r="E16">
        <v>92</v>
      </c>
      <c r="F16" s="3">
        <v>293.95999999999998</v>
      </c>
      <c r="G16" s="3">
        <v>27044.32</v>
      </c>
    </row>
    <row r="17" spans="1:7" x14ac:dyDescent="0.35">
      <c r="A17" t="s">
        <v>35</v>
      </c>
      <c r="B17" s="1">
        <v>45407</v>
      </c>
      <c r="C17" s="2" t="s">
        <v>8</v>
      </c>
      <c r="D17" t="s">
        <v>36</v>
      </c>
      <c r="E17">
        <v>49</v>
      </c>
      <c r="F17" s="3">
        <v>231.59</v>
      </c>
      <c r="G17" s="3">
        <v>11347.91</v>
      </c>
    </row>
    <row r="18" spans="1:7" x14ac:dyDescent="0.35">
      <c r="A18" t="s">
        <v>37</v>
      </c>
      <c r="B18" s="1">
        <v>45116</v>
      </c>
      <c r="C18" s="2" t="s">
        <v>14</v>
      </c>
      <c r="D18" t="s">
        <v>9</v>
      </c>
      <c r="E18">
        <v>51</v>
      </c>
      <c r="F18" s="3">
        <v>162.74</v>
      </c>
      <c r="G18" s="3">
        <v>8299.74</v>
      </c>
    </row>
    <row r="19" spans="1:7" x14ac:dyDescent="0.35">
      <c r="A19" t="s">
        <v>38</v>
      </c>
      <c r="B19" s="1">
        <v>45181</v>
      </c>
      <c r="C19" s="2" t="s">
        <v>22</v>
      </c>
      <c r="D19" t="s">
        <v>9</v>
      </c>
      <c r="E19">
        <v>65</v>
      </c>
      <c r="F19" s="3">
        <v>203.63</v>
      </c>
      <c r="G19" s="3">
        <v>13235.95</v>
      </c>
    </row>
    <row r="20" spans="1:7" x14ac:dyDescent="0.35">
      <c r="A20" t="s">
        <v>39</v>
      </c>
      <c r="B20" s="1">
        <v>45247</v>
      </c>
      <c r="C20" s="2" t="s">
        <v>14</v>
      </c>
      <c r="D20" t="s">
        <v>40</v>
      </c>
      <c r="E20">
        <v>17</v>
      </c>
      <c r="F20" s="3">
        <v>441.96</v>
      </c>
      <c r="G20" s="3">
        <v>7513.32</v>
      </c>
    </row>
    <row r="21" spans="1:7" x14ac:dyDescent="0.35">
      <c r="A21" t="s">
        <v>41</v>
      </c>
      <c r="B21" s="1">
        <v>45262</v>
      </c>
      <c r="C21" s="2" t="s">
        <v>8</v>
      </c>
      <c r="D21" t="s">
        <v>20</v>
      </c>
      <c r="E21">
        <v>21</v>
      </c>
      <c r="F21" s="3">
        <v>66.86</v>
      </c>
      <c r="G21" s="3">
        <v>1404.06</v>
      </c>
    </row>
    <row r="22" spans="1:7" x14ac:dyDescent="0.35">
      <c r="A22" t="s">
        <v>42</v>
      </c>
      <c r="B22" s="1">
        <v>45517</v>
      </c>
      <c r="C22" s="2" t="s">
        <v>8</v>
      </c>
      <c r="D22" t="s">
        <v>33</v>
      </c>
      <c r="E22">
        <v>58</v>
      </c>
      <c r="F22" s="3">
        <v>292.47000000000003</v>
      </c>
      <c r="G22" s="3">
        <v>16963.259999999998</v>
      </c>
    </row>
    <row r="23" spans="1:7" x14ac:dyDescent="0.35">
      <c r="A23" t="s">
        <v>43</v>
      </c>
      <c r="B23" s="1">
        <v>45215</v>
      </c>
      <c r="C23" s="2" t="s">
        <v>22</v>
      </c>
      <c r="D23" t="s">
        <v>44</v>
      </c>
      <c r="E23">
        <v>60</v>
      </c>
      <c r="F23" s="3">
        <v>427.22</v>
      </c>
      <c r="G23" s="3">
        <v>25633.200000000001</v>
      </c>
    </row>
    <row r="24" spans="1:7" x14ac:dyDescent="0.35">
      <c r="A24" t="s">
        <v>45</v>
      </c>
      <c r="B24" s="1">
        <v>44991</v>
      </c>
      <c r="C24" s="2" t="s">
        <v>14</v>
      </c>
      <c r="D24" t="s">
        <v>25</v>
      </c>
      <c r="E24">
        <v>47</v>
      </c>
      <c r="F24" s="3">
        <v>115.6</v>
      </c>
      <c r="G24" s="3">
        <v>5433.2</v>
      </c>
    </row>
    <row r="25" spans="1:7" x14ac:dyDescent="0.35">
      <c r="A25" t="s">
        <v>46</v>
      </c>
      <c r="B25" s="1">
        <v>45483</v>
      </c>
      <c r="C25" s="2" t="s">
        <v>22</v>
      </c>
      <c r="D25" t="s">
        <v>47</v>
      </c>
      <c r="E25">
        <v>12</v>
      </c>
      <c r="F25" s="3">
        <v>459.87</v>
      </c>
      <c r="G25" s="3">
        <v>5518.44</v>
      </c>
    </row>
    <row r="26" spans="1:7" x14ac:dyDescent="0.35">
      <c r="A26" t="s">
        <v>48</v>
      </c>
      <c r="B26" s="1">
        <v>45329</v>
      </c>
      <c r="C26" s="2" t="s">
        <v>17</v>
      </c>
      <c r="D26" t="s">
        <v>15</v>
      </c>
      <c r="E26">
        <v>92</v>
      </c>
      <c r="F26" s="3">
        <v>238.67</v>
      </c>
      <c r="G26" s="3">
        <v>21957.64</v>
      </c>
    </row>
    <row r="27" spans="1:7" x14ac:dyDescent="0.35">
      <c r="A27" t="s">
        <v>49</v>
      </c>
      <c r="B27" s="1">
        <v>45307</v>
      </c>
      <c r="C27" s="2" t="s">
        <v>14</v>
      </c>
      <c r="D27" t="s">
        <v>50</v>
      </c>
      <c r="E27">
        <v>67</v>
      </c>
      <c r="F27" s="3">
        <v>221.91</v>
      </c>
      <c r="G27" s="3">
        <v>14867.97</v>
      </c>
    </row>
    <row r="28" spans="1:7" x14ac:dyDescent="0.35">
      <c r="A28" t="s">
        <v>51</v>
      </c>
      <c r="B28" s="1">
        <v>44946</v>
      </c>
      <c r="C28" s="2" t="s">
        <v>14</v>
      </c>
      <c r="D28" t="s">
        <v>9</v>
      </c>
      <c r="E28">
        <v>11</v>
      </c>
      <c r="F28" s="3">
        <v>228.71</v>
      </c>
      <c r="G28" s="3">
        <v>2515.81</v>
      </c>
    </row>
    <row r="29" spans="1:7" x14ac:dyDescent="0.35">
      <c r="A29" t="s">
        <v>52</v>
      </c>
      <c r="B29" s="1">
        <v>45164</v>
      </c>
      <c r="C29" s="2" t="s">
        <v>8</v>
      </c>
      <c r="D29" t="s">
        <v>20</v>
      </c>
      <c r="E29">
        <v>18</v>
      </c>
      <c r="F29" s="3">
        <v>125.81</v>
      </c>
      <c r="G29" s="3">
        <v>2264.58</v>
      </c>
    </row>
    <row r="30" spans="1:7" x14ac:dyDescent="0.35">
      <c r="A30" t="s">
        <v>53</v>
      </c>
      <c r="B30" s="1">
        <v>45145</v>
      </c>
      <c r="C30" s="2" t="s">
        <v>11</v>
      </c>
      <c r="D30" t="s">
        <v>18</v>
      </c>
      <c r="E30">
        <v>93</v>
      </c>
      <c r="F30" s="3">
        <v>454.69</v>
      </c>
      <c r="G30" s="3">
        <v>42286.17</v>
      </c>
    </row>
    <row r="31" spans="1:7" x14ac:dyDescent="0.35">
      <c r="A31" t="s">
        <v>54</v>
      </c>
      <c r="B31" s="1">
        <v>45042</v>
      </c>
      <c r="C31" s="2" t="s">
        <v>8</v>
      </c>
      <c r="D31" t="s">
        <v>12</v>
      </c>
      <c r="E31">
        <v>32</v>
      </c>
      <c r="F31" s="3">
        <v>421.39</v>
      </c>
      <c r="G31" s="3">
        <v>13484.48</v>
      </c>
    </row>
    <row r="32" spans="1:7" x14ac:dyDescent="0.35">
      <c r="A32" t="s">
        <v>55</v>
      </c>
      <c r="B32" s="1">
        <v>45497</v>
      </c>
      <c r="C32" s="2" t="s">
        <v>17</v>
      </c>
      <c r="D32" t="s">
        <v>40</v>
      </c>
      <c r="E32">
        <v>40</v>
      </c>
      <c r="F32" s="3">
        <v>470.51</v>
      </c>
      <c r="G32" s="3">
        <v>18820.400000000001</v>
      </c>
    </row>
    <row r="33" spans="1:7" x14ac:dyDescent="0.35">
      <c r="A33" t="s">
        <v>56</v>
      </c>
      <c r="B33" s="1">
        <v>45243</v>
      </c>
      <c r="C33" s="2" t="s">
        <v>8</v>
      </c>
      <c r="D33" t="s">
        <v>40</v>
      </c>
      <c r="E33">
        <v>33</v>
      </c>
      <c r="F33" s="3">
        <v>458.28</v>
      </c>
      <c r="G33" s="3">
        <v>15123.24</v>
      </c>
    </row>
    <row r="34" spans="1:7" x14ac:dyDescent="0.35">
      <c r="A34" t="s">
        <v>57</v>
      </c>
      <c r="B34" s="1">
        <v>45443</v>
      </c>
      <c r="C34" s="2" t="s">
        <v>17</v>
      </c>
      <c r="D34" t="s">
        <v>9</v>
      </c>
      <c r="E34">
        <v>33</v>
      </c>
      <c r="F34" s="3">
        <v>99.96</v>
      </c>
      <c r="G34" s="3">
        <v>3298.68</v>
      </c>
    </row>
    <row r="35" spans="1:7" x14ac:dyDescent="0.35">
      <c r="A35" t="s">
        <v>58</v>
      </c>
      <c r="B35" s="1">
        <v>45240</v>
      </c>
      <c r="C35" s="2" t="s">
        <v>17</v>
      </c>
      <c r="D35" t="s">
        <v>59</v>
      </c>
      <c r="E35">
        <v>76</v>
      </c>
      <c r="F35" s="3">
        <v>273.39999999999998</v>
      </c>
      <c r="G35" s="3">
        <v>20778.400000000001</v>
      </c>
    </row>
    <row r="36" spans="1:7" x14ac:dyDescent="0.35">
      <c r="A36" t="s">
        <v>60</v>
      </c>
      <c r="B36" s="1">
        <v>45398</v>
      </c>
      <c r="C36" s="2" t="s">
        <v>14</v>
      </c>
      <c r="D36" t="s">
        <v>47</v>
      </c>
      <c r="E36">
        <v>93</v>
      </c>
      <c r="F36" s="3">
        <v>463.5</v>
      </c>
      <c r="G36" s="3">
        <v>43105.5</v>
      </c>
    </row>
    <row r="37" spans="1:7" x14ac:dyDescent="0.35">
      <c r="A37" t="s">
        <v>61</v>
      </c>
      <c r="B37" s="1">
        <v>45085</v>
      </c>
      <c r="C37" s="2" t="s">
        <v>8</v>
      </c>
      <c r="D37" t="s">
        <v>44</v>
      </c>
      <c r="E37">
        <v>94</v>
      </c>
      <c r="F37" s="3">
        <v>430.8</v>
      </c>
      <c r="G37" s="3">
        <v>40495.199999999997</v>
      </c>
    </row>
    <row r="38" spans="1:7" x14ac:dyDescent="0.35">
      <c r="A38" t="s">
        <v>62</v>
      </c>
      <c r="B38" s="1">
        <v>45112</v>
      </c>
      <c r="C38" s="2" t="s">
        <v>14</v>
      </c>
      <c r="D38" t="s">
        <v>27</v>
      </c>
      <c r="E38">
        <v>34</v>
      </c>
      <c r="F38" s="3">
        <v>288.92</v>
      </c>
      <c r="G38" s="3">
        <v>9823.2800000000007</v>
      </c>
    </row>
    <row r="39" spans="1:7" x14ac:dyDescent="0.35">
      <c r="A39" t="s">
        <v>63</v>
      </c>
      <c r="B39" s="1">
        <v>45164</v>
      </c>
      <c r="C39" s="2" t="s">
        <v>11</v>
      </c>
      <c r="D39" t="s">
        <v>20</v>
      </c>
      <c r="E39">
        <v>53</v>
      </c>
      <c r="F39" s="3">
        <v>176.96</v>
      </c>
      <c r="G39" s="3">
        <v>9378.8799999999992</v>
      </c>
    </row>
    <row r="40" spans="1:7" x14ac:dyDescent="0.35">
      <c r="A40" t="s">
        <v>64</v>
      </c>
      <c r="B40" s="1">
        <v>45170</v>
      </c>
      <c r="C40" s="2" t="s">
        <v>22</v>
      </c>
      <c r="D40" t="s">
        <v>12</v>
      </c>
      <c r="E40">
        <v>41</v>
      </c>
      <c r="F40" s="3">
        <v>94.91</v>
      </c>
      <c r="G40" s="3">
        <v>3891.31</v>
      </c>
    </row>
    <row r="41" spans="1:7" x14ac:dyDescent="0.35">
      <c r="A41" t="s">
        <v>65</v>
      </c>
      <c r="B41" s="1">
        <v>45312</v>
      </c>
      <c r="C41" s="2" t="s">
        <v>14</v>
      </c>
      <c r="D41" t="s">
        <v>20</v>
      </c>
      <c r="E41">
        <v>18</v>
      </c>
      <c r="F41" s="3">
        <v>134.53</v>
      </c>
      <c r="G41" s="3">
        <v>2421.54</v>
      </c>
    </row>
    <row r="42" spans="1:7" x14ac:dyDescent="0.35">
      <c r="A42" t="s">
        <v>66</v>
      </c>
      <c r="B42" s="1">
        <v>45393</v>
      </c>
      <c r="C42" s="2" t="s">
        <v>22</v>
      </c>
      <c r="D42" t="s">
        <v>59</v>
      </c>
      <c r="E42">
        <v>70</v>
      </c>
      <c r="F42" s="3">
        <v>313.91000000000003</v>
      </c>
      <c r="G42" s="3">
        <v>21973.7</v>
      </c>
    </row>
    <row r="43" spans="1:7" x14ac:dyDescent="0.35">
      <c r="A43" t="s">
        <v>67</v>
      </c>
      <c r="B43" s="1">
        <v>45099</v>
      </c>
      <c r="C43" s="2" t="s">
        <v>11</v>
      </c>
      <c r="D43" t="s">
        <v>9</v>
      </c>
      <c r="E43">
        <v>15</v>
      </c>
      <c r="F43" s="3">
        <v>469.45</v>
      </c>
      <c r="G43" s="3">
        <v>7041.75</v>
      </c>
    </row>
    <row r="44" spans="1:7" x14ac:dyDescent="0.35">
      <c r="A44" t="s">
        <v>68</v>
      </c>
      <c r="B44" s="1">
        <v>45209</v>
      </c>
      <c r="C44" s="2" t="s">
        <v>11</v>
      </c>
      <c r="D44" t="s">
        <v>15</v>
      </c>
      <c r="E44">
        <v>38</v>
      </c>
      <c r="F44" s="3">
        <v>55.67</v>
      </c>
      <c r="G44" s="3">
        <v>2115.46</v>
      </c>
    </row>
    <row r="45" spans="1:7" x14ac:dyDescent="0.35">
      <c r="A45" t="s">
        <v>69</v>
      </c>
      <c r="B45" s="1">
        <v>45522</v>
      </c>
      <c r="C45" s="2" t="s">
        <v>14</v>
      </c>
      <c r="D45" t="s">
        <v>20</v>
      </c>
      <c r="E45">
        <v>96</v>
      </c>
      <c r="F45" s="3">
        <v>329.83</v>
      </c>
      <c r="G45" s="3">
        <v>31663.68</v>
      </c>
    </row>
    <row r="46" spans="1:7" x14ac:dyDescent="0.35">
      <c r="A46" t="s">
        <v>70</v>
      </c>
      <c r="B46" s="1">
        <v>45226</v>
      </c>
      <c r="C46" s="2" t="s">
        <v>11</v>
      </c>
      <c r="D46" t="s">
        <v>71</v>
      </c>
      <c r="E46">
        <v>52</v>
      </c>
      <c r="F46" s="3">
        <v>168.77</v>
      </c>
      <c r="G46" s="3">
        <v>8776.0400000000009</v>
      </c>
    </row>
    <row r="47" spans="1:7" x14ac:dyDescent="0.35">
      <c r="A47" t="s">
        <v>72</v>
      </c>
      <c r="B47" s="1">
        <v>45174</v>
      </c>
      <c r="C47" s="2" t="s">
        <v>8</v>
      </c>
      <c r="D47" t="s">
        <v>18</v>
      </c>
      <c r="E47">
        <v>46</v>
      </c>
      <c r="F47" s="3">
        <v>472.88</v>
      </c>
      <c r="G47" s="3">
        <v>21752.48</v>
      </c>
    </row>
    <row r="48" spans="1:7" x14ac:dyDescent="0.35">
      <c r="A48" t="s">
        <v>73</v>
      </c>
      <c r="B48" s="1">
        <v>45151</v>
      </c>
      <c r="C48" s="2" t="s">
        <v>14</v>
      </c>
      <c r="D48" t="s">
        <v>47</v>
      </c>
      <c r="E48">
        <v>86</v>
      </c>
      <c r="F48" s="3">
        <v>305.97000000000003</v>
      </c>
      <c r="G48" s="3">
        <v>26313.42</v>
      </c>
    </row>
    <row r="49" spans="1:7" x14ac:dyDescent="0.35">
      <c r="A49" t="s">
        <v>74</v>
      </c>
      <c r="B49" s="1">
        <v>45448</v>
      </c>
      <c r="C49" s="2" t="s">
        <v>14</v>
      </c>
      <c r="D49" t="s">
        <v>9</v>
      </c>
      <c r="E49">
        <v>39</v>
      </c>
      <c r="F49" s="3">
        <v>407.76</v>
      </c>
      <c r="G49" s="3">
        <v>15902.64</v>
      </c>
    </row>
    <row r="50" spans="1:7" x14ac:dyDescent="0.35">
      <c r="A50" t="s">
        <v>75</v>
      </c>
      <c r="B50" s="1">
        <v>45381</v>
      </c>
      <c r="C50" s="2" t="s">
        <v>8</v>
      </c>
      <c r="D50" t="s">
        <v>25</v>
      </c>
      <c r="E50">
        <v>19</v>
      </c>
      <c r="F50" s="3">
        <v>88.36</v>
      </c>
      <c r="G50" s="3">
        <v>1678.84</v>
      </c>
    </row>
    <row r="51" spans="1:7" x14ac:dyDescent="0.35">
      <c r="A51" t="s">
        <v>76</v>
      </c>
      <c r="B51" s="1">
        <v>45350</v>
      </c>
      <c r="C51" s="2" t="s">
        <v>8</v>
      </c>
      <c r="D51" t="s">
        <v>25</v>
      </c>
      <c r="E51">
        <v>67</v>
      </c>
      <c r="F51" s="3">
        <v>262.08</v>
      </c>
      <c r="G51" s="3">
        <v>17559.36</v>
      </c>
    </row>
    <row r="52" spans="1:7" x14ac:dyDescent="0.35">
      <c r="A52" t="s">
        <v>77</v>
      </c>
      <c r="B52" s="1">
        <v>44958</v>
      </c>
      <c r="C52" s="2" t="s">
        <v>11</v>
      </c>
      <c r="D52" t="s">
        <v>40</v>
      </c>
      <c r="E52">
        <v>23</v>
      </c>
      <c r="F52" s="3">
        <v>123.36</v>
      </c>
      <c r="G52" s="3">
        <v>2837.28</v>
      </c>
    </row>
    <row r="53" spans="1:7" x14ac:dyDescent="0.35">
      <c r="A53" t="s">
        <v>78</v>
      </c>
      <c r="B53" s="1">
        <v>45524</v>
      </c>
      <c r="C53" s="2" t="s">
        <v>14</v>
      </c>
      <c r="D53" t="s">
        <v>47</v>
      </c>
      <c r="E53">
        <v>79</v>
      </c>
      <c r="F53" s="3">
        <v>424.37</v>
      </c>
      <c r="G53" s="3">
        <v>33525.230000000003</v>
      </c>
    </row>
    <row r="54" spans="1:7" x14ac:dyDescent="0.35">
      <c r="A54" t="s">
        <v>79</v>
      </c>
      <c r="B54" s="1">
        <v>45145</v>
      </c>
      <c r="C54" s="2" t="s">
        <v>14</v>
      </c>
      <c r="D54" t="s">
        <v>36</v>
      </c>
      <c r="E54">
        <v>100</v>
      </c>
      <c r="F54" s="3">
        <v>392.93</v>
      </c>
      <c r="G54" s="3">
        <v>39293</v>
      </c>
    </row>
    <row r="55" spans="1:7" x14ac:dyDescent="0.35">
      <c r="A55" t="s">
        <v>80</v>
      </c>
      <c r="B55" s="1">
        <v>45459</v>
      </c>
      <c r="C55" s="2" t="s">
        <v>14</v>
      </c>
      <c r="D55" t="s">
        <v>12</v>
      </c>
      <c r="E55">
        <v>24</v>
      </c>
      <c r="F55" s="3">
        <v>340.38</v>
      </c>
      <c r="G55" s="3">
        <v>8169.12</v>
      </c>
    </row>
    <row r="56" spans="1:7" x14ac:dyDescent="0.35">
      <c r="A56" t="s">
        <v>81</v>
      </c>
      <c r="B56" s="1">
        <v>45306</v>
      </c>
      <c r="C56" s="2" t="s">
        <v>11</v>
      </c>
      <c r="D56" t="s">
        <v>18</v>
      </c>
      <c r="E56">
        <v>42</v>
      </c>
      <c r="F56" s="3">
        <v>324.93</v>
      </c>
      <c r="G56" s="3">
        <v>13647.06</v>
      </c>
    </row>
    <row r="57" spans="1:7" x14ac:dyDescent="0.35">
      <c r="A57" t="s">
        <v>82</v>
      </c>
      <c r="B57" s="1">
        <v>45221</v>
      </c>
      <c r="C57" s="2" t="s">
        <v>11</v>
      </c>
      <c r="D57" t="s">
        <v>50</v>
      </c>
      <c r="E57">
        <v>76</v>
      </c>
      <c r="F57" s="3">
        <v>432.32</v>
      </c>
      <c r="G57" s="3">
        <v>32856.32</v>
      </c>
    </row>
    <row r="58" spans="1:7" x14ac:dyDescent="0.35">
      <c r="A58" t="s">
        <v>83</v>
      </c>
      <c r="B58" s="1">
        <v>44943</v>
      </c>
      <c r="C58" s="2" t="s">
        <v>11</v>
      </c>
      <c r="D58" t="s">
        <v>50</v>
      </c>
      <c r="E58">
        <v>84</v>
      </c>
      <c r="F58" s="3">
        <v>114.01</v>
      </c>
      <c r="G58" s="3">
        <v>9576.84</v>
      </c>
    </row>
    <row r="59" spans="1:7" x14ac:dyDescent="0.35">
      <c r="A59" t="s">
        <v>84</v>
      </c>
      <c r="B59" s="1">
        <v>45180</v>
      </c>
      <c r="C59" s="2" t="s">
        <v>17</v>
      </c>
      <c r="D59" t="s">
        <v>36</v>
      </c>
      <c r="E59">
        <v>71</v>
      </c>
      <c r="F59" s="3">
        <v>461.7</v>
      </c>
      <c r="G59" s="3">
        <v>32780.699999999997</v>
      </c>
    </row>
    <row r="60" spans="1:7" x14ac:dyDescent="0.35">
      <c r="A60" t="s">
        <v>85</v>
      </c>
      <c r="B60" s="1">
        <v>45424</v>
      </c>
      <c r="C60" s="2" t="s">
        <v>22</v>
      </c>
      <c r="D60" t="s">
        <v>33</v>
      </c>
      <c r="E60">
        <v>72</v>
      </c>
      <c r="F60" s="3">
        <v>479.06</v>
      </c>
      <c r="G60" s="3">
        <v>34492.32</v>
      </c>
    </row>
    <row r="61" spans="1:7" x14ac:dyDescent="0.35">
      <c r="A61" t="s">
        <v>86</v>
      </c>
      <c r="B61" s="1">
        <v>45285</v>
      </c>
      <c r="C61" s="2" t="s">
        <v>11</v>
      </c>
      <c r="D61" t="s">
        <v>71</v>
      </c>
      <c r="E61">
        <v>78</v>
      </c>
      <c r="F61" s="3">
        <v>378.14</v>
      </c>
      <c r="G61" s="3">
        <v>29494.92</v>
      </c>
    </row>
    <row r="62" spans="1:7" x14ac:dyDescent="0.35">
      <c r="A62" t="s">
        <v>87</v>
      </c>
      <c r="B62" s="1">
        <v>45278</v>
      </c>
      <c r="C62" s="2" t="s">
        <v>17</v>
      </c>
      <c r="D62" t="s">
        <v>59</v>
      </c>
      <c r="E62">
        <v>91</v>
      </c>
      <c r="F62" s="3">
        <v>342.67</v>
      </c>
      <c r="G62" s="3">
        <v>31182.97</v>
      </c>
    </row>
    <row r="63" spans="1:7" x14ac:dyDescent="0.35">
      <c r="A63" t="s">
        <v>88</v>
      </c>
      <c r="B63" s="1">
        <v>45160</v>
      </c>
      <c r="C63" s="2" t="s">
        <v>11</v>
      </c>
      <c r="D63" t="s">
        <v>47</v>
      </c>
      <c r="E63">
        <v>87</v>
      </c>
      <c r="F63" s="3">
        <v>492.63</v>
      </c>
      <c r="G63" s="3">
        <v>42858.81</v>
      </c>
    </row>
    <row r="64" spans="1:7" x14ac:dyDescent="0.35">
      <c r="A64" t="s">
        <v>89</v>
      </c>
      <c r="B64" s="1">
        <v>45358</v>
      </c>
      <c r="C64" s="2" t="s">
        <v>22</v>
      </c>
      <c r="D64" t="s">
        <v>36</v>
      </c>
      <c r="E64">
        <v>53</v>
      </c>
      <c r="F64" s="3">
        <v>128.66</v>
      </c>
      <c r="G64" s="3">
        <v>6818.98</v>
      </c>
    </row>
    <row r="65" spans="1:7" x14ac:dyDescent="0.35">
      <c r="A65" t="s">
        <v>90</v>
      </c>
      <c r="B65" s="1">
        <v>45317</v>
      </c>
      <c r="C65" s="2" t="s">
        <v>11</v>
      </c>
      <c r="D65" t="s">
        <v>33</v>
      </c>
      <c r="E65">
        <v>42</v>
      </c>
      <c r="F65" s="3">
        <v>483.21</v>
      </c>
      <c r="G65" s="3">
        <v>20294.82</v>
      </c>
    </row>
    <row r="66" spans="1:7" x14ac:dyDescent="0.35">
      <c r="A66" t="s">
        <v>91</v>
      </c>
      <c r="B66" s="1">
        <v>45241</v>
      </c>
      <c r="C66" s="2" t="s">
        <v>22</v>
      </c>
      <c r="D66" t="s">
        <v>40</v>
      </c>
      <c r="E66">
        <v>69</v>
      </c>
      <c r="F66" s="3">
        <v>292.75</v>
      </c>
      <c r="G66" s="3">
        <v>20199.75</v>
      </c>
    </row>
    <row r="67" spans="1:7" x14ac:dyDescent="0.35">
      <c r="A67" t="s">
        <v>92</v>
      </c>
      <c r="B67" s="1">
        <v>45095</v>
      </c>
      <c r="C67" s="2" t="s">
        <v>11</v>
      </c>
      <c r="D67" t="s">
        <v>20</v>
      </c>
      <c r="E67">
        <v>95</v>
      </c>
      <c r="F67" s="3">
        <v>382.08</v>
      </c>
      <c r="G67" s="3">
        <v>36297.599999999999</v>
      </c>
    </row>
    <row r="68" spans="1:7" x14ac:dyDescent="0.35">
      <c r="A68" t="s">
        <v>93</v>
      </c>
      <c r="B68" s="1">
        <v>45068</v>
      </c>
      <c r="C68" s="2" t="s">
        <v>22</v>
      </c>
      <c r="D68" t="s">
        <v>9</v>
      </c>
      <c r="E68">
        <v>10</v>
      </c>
      <c r="F68" s="3">
        <v>476.25</v>
      </c>
      <c r="G68" s="3">
        <v>4762.5</v>
      </c>
    </row>
    <row r="69" spans="1:7" x14ac:dyDescent="0.35">
      <c r="A69" t="s">
        <v>94</v>
      </c>
      <c r="B69" s="1">
        <v>45177</v>
      </c>
      <c r="C69" s="2" t="s">
        <v>22</v>
      </c>
      <c r="D69" t="s">
        <v>27</v>
      </c>
      <c r="E69">
        <v>74</v>
      </c>
      <c r="F69" s="3">
        <v>287.55</v>
      </c>
      <c r="G69" s="3">
        <v>21278.7</v>
      </c>
    </row>
    <row r="70" spans="1:7" x14ac:dyDescent="0.35">
      <c r="A70" t="s">
        <v>95</v>
      </c>
      <c r="B70" s="1">
        <v>45516</v>
      </c>
      <c r="C70" s="2" t="s">
        <v>8</v>
      </c>
      <c r="D70" t="s">
        <v>33</v>
      </c>
      <c r="E70">
        <v>90</v>
      </c>
      <c r="F70" s="3">
        <v>457.97</v>
      </c>
      <c r="G70" s="3">
        <v>41217.300000000003</v>
      </c>
    </row>
    <row r="71" spans="1:7" x14ac:dyDescent="0.35">
      <c r="A71" t="s">
        <v>96</v>
      </c>
      <c r="B71" s="1">
        <v>45413</v>
      </c>
      <c r="C71" s="2" t="s">
        <v>11</v>
      </c>
      <c r="D71" t="s">
        <v>12</v>
      </c>
      <c r="E71">
        <v>10</v>
      </c>
      <c r="F71" s="3">
        <v>216.33</v>
      </c>
      <c r="G71" s="3">
        <v>2163.3000000000002</v>
      </c>
    </row>
    <row r="72" spans="1:7" x14ac:dyDescent="0.35">
      <c r="A72" t="s">
        <v>97</v>
      </c>
      <c r="B72" s="1">
        <v>45278</v>
      </c>
      <c r="C72" s="2" t="s">
        <v>22</v>
      </c>
      <c r="D72" t="s">
        <v>40</v>
      </c>
      <c r="E72">
        <v>26</v>
      </c>
      <c r="F72" s="3">
        <v>349.48</v>
      </c>
      <c r="G72" s="3">
        <v>9086.48</v>
      </c>
    </row>
    <row r="73" spans="1:7" x14ac:dyDescent="0.35">
      <c r="A73" t="s">
        <v>98</v>
      </c>
      <c r="B73" s="1">
        <v>45054</v>
      </c>
      <c r="C73" s="2" t="s">
        <v>14</v>
      </c>
      <c r="D73" t="s">
        <v>44</v>
      </c>
      <c r="E73">
        <v>34</v>
      </c>
      <c r="F73" s="3">
        <v>339.91</v>
      </c>
      <c r="G73" s="3">
        <v>11556.94</v>
      </c>
    </row>
    <row r="74" spans="1:7" x14ac:dyDescent="0.35">
      <c r="A74" t="s">
        <v>99</v>
      </c>
      <c r="B74" s="1">
        <v>45132</v>
      </c>
      <c r="C74" s="2" t="s">
        <v>11</v>
      </c>
      <c r="D74" t="s">
        <v>44</v>
      </c>
      <c r="E74">
        <v>89</v>
      </c>
      <c r="F74" s="3">
        <v>183.49</v>
      </c>
      <c r="G74" s="3">
        <v>16330.61</v>
      </c>
    </row>
    <row r="75" spans="1:7" x14ac:dyDescent="0.35">
      <c r="A75" t="s">
        <v>100</v>
      </c>
      <c r="B75" s="1">
        <v>45371</v>
      </c>
      <c r="C75" s="2" t="s">
        <v>8</v>
      </c>
      <c r="D75" t="s">
        <v>36</v>
      </c>
      <c r="E75">
        <v>37</v>
      </c>
      <c r="F75" s="3">
        <v>438.29</v>
      </c>
      <c r="G75" s="3">
        <v>16216.73</v>
      </c>
    </row>
    <row r="76" spans="1:7" x14ac:dyDescent="0.35">
      <c r="A76" t="s">
        <v>101</v>
      </c>
      <c r="B76" s="1">
        <v>45164</v>
      </c>
      <c r="C76" s="2" t="s">
        <v>11</v>
      </c>
      <c r="D76" t="s">
        <v>18</v>
      </c>
      <c r="E76">
        <v>82</v>
      </c>
      <c r="F76" s="3">
        <v>386.31</v>
      </c>
      <c r="G76" s="3">
        <v>31677.42</v>
      </c>
    </row>
    <row r="77" spans="1:7" x14ac:dyDescent="0.35">
      <c r="A77" t="s">
        <v>102</v>
      </c>
      <c r="B77" s="1">
        <v>44937</v>
      </c>
      <c r="C77" s="2" t="s">
        <v>22</v>
      </c>
      <c r="D77" t="s">
        <v>27</v>
      </c>
      <c r="E77">
        <v>45</v>
      </c>
      <c r="F77" s="3">
        <v>100.21</v>
      </c>
      <c r="G77" s="3">
        <v>4509.45</v>
      </c>
    </row>
    <row r="78" spans="1:7" x14ac:dyDescent="0.35">
      <c r="A78" t="s">
        <v>103</v>
      </c>
      <c r="B78" s="1">
        <v>45072</v>
      </c>
      <c r="C78" s="2" t="s">
        <v>11</v>
      </c>
      <c r="D78" t="s">
        <v>25</v>
      </c>
      <c r="E78">
        <v>83</v>
      </c>
      <c r="F78" s="3">
        <v>408.2</v>
      </c>
      <c r="G78" s="3">
        <v>33880.6</v>
      </c>
    </row>
    <row r="79" spans="1:7" x14ac:dyDescent="0.35">
      <c r="A79" t="s">
        <v>104</v>
      </c>
      <c r="B79" s="1">
        <v>45117</v>
      </c>
      <c r="C79" s="2" t="s">
        <v>22</v>
      </c>
      <c r="D79" t="s">
        <v>40</v>
      </c>
      <c r="E79">
        <v>55</v>
      </c>
      <c r="F79" s="3">
        <v>461.37</v>
      </c>
      <c r="G79" s="3">
        <v>25375.35</v>
      </c>
    </row>
    <row r="80" spans="1:7" x14ac:dyDescent="0.35">
      <c r="A80" t="s">
        <v>105</v>
      </c>
      <c r="B80" s="1">
        <v>45191</v>
      </c>
      <c r="C80" s="2" t="s">
        <v>8</v>
      </c>
      <c r="D80" t="s">
        <v>18</v>
      </c>
      <c r="E80">
        <v>47</v>
      </c>
      <c r="F80" s="3">
        <v>353.58</v>
      </c>
      <c r="G80" s="3">
        <v>16618.259999999998</v>
      </c>
    </row>
    <row r="81" spans="1:7" x14ac:dyDescent="0.35">
      <c r="A81" t="s">
        <v>106</v>
      </c>
      <c r="B81" s="1">
        <v>45236</v>
      </c>
      <c r="C81" s="2" t="s">
        <v>17</v>
      </c>
      <c r="D81" t="s">
        <v>36</v>
      </c>
      <c r="E81">
        <v>22</v>
      </c>
      <c r="F81" s="3">
        <v>396.31</v>
      </c>
      <c r="G81" s="3">
        <v>8718.82</v>
      </c>
    </row>
    <row r="82" spans="1:7" x14ac:dyDescent="0.35">
      <c r="A82" t="s">
        <v>107</v>
      </c>
      <c r="B82" s="1">
        <v>45166</v>
      </c>
      <c r="C82" s="2" t="s">
        <v>11</v>
      </c>
      <c r="D82" t="s">
        <v>59</v>
      </c>
      <c r="E82">
        <v>51</v>
      </c>
      <c r="F82" s="3">
        <v>375.31</v>
      </c>
      <c r="G82" s="3">
        <v>19140.810000000001</v>
      </c>
    </row>
    <row r="83" spans="1:7" x14ac:dyDescent="0.35">
      <c r="A83" t="s">
        <v>108</v>
      </c>
      <c r="B83" s="1">
        <v>45436</v>
      </c>
      <c r="C83" s="2" t="s">
        <v>8</v>
      </c>
      <c r="D83" t="s">
        <v>36</v>
      </c>
      <c r="E83">
        <v>30</v>
      </c>
      <c r="F83" s="3">
        <v>325.89</v>
      </c>
      <c r="G83" s="3">
        <v>9776.7000000000007</v>
      </c>
    </row>
    <row r="84" spans="1:7" x14ac:dyDescent="0.35">
      <c r="A84" t="s">
        <v>109</v>
      </c>
      <c r="B84" s="1">
        <v>45210</v>
      </c>
      <c r="C84" s="2" t="s">
        <v>17</v>
      </c>
      <c r="D84" t="s">
        <v>15</v>
      </c>
      <c r="E84">
        <v>14</v>
      </c>
      <c r="F84" s="3">
        <v>92.75</v>
      </c>
      <c r="G84" s="3">
        <v>1298.5</v>
      </c>
    </row>
    <row r="85" spans="1:7" x14ac:dyDescent="0.35">
      <c r="A85" t="s">
        <v>110</v>
      </c>
      <c r="B85" s="1">
        <v>45028</v>
      </c>
      <c r="C85" s="2" t="s">
        <v>8</v>
      </c>
      <c r="D85" t="s">
        <v>44</v>
      </c>
      <c r="E85">
        <v>76</v>
      </c>
      <c r="F85" s="3">
        <v>261.64999999999998</v>
      </c>
      <c r="G85" s="3">
        <v>19885.400000000001</v>
      </c>
    </row>
    <row r="86" spans="1:7" x14ac:dyDescent="0.35">
      <c r="A86" t="s">
        <v>111</v>
      </c>
      <c r="B86" s="1">
        <v>45328</v>
      </c>
      <c r="C86" s="2" t="s">
        <v>14</v>
      </c>
      <c r="D86" t="s">
        <v>25</v>
      </c>
      <c r="E86">
        <v>86</v>
      </c>
      <c r="F86" s="3">
        <v>322.14999999999998</v>
      </c>
      <c r="G86" s="3">
        <v>27704.9</v>
      </c>
    </row>
    <row r="87" spans="1:7" x14ac:dyDescent="0.35">
      <c r="A87" t="s">
        <v>112</v>
      </c>
      <c r="B87" s="1">
        <v>45231</v>
      </c>
      <c r="C87" s="2" t="s">
        <v>8</v>
      </c>
      <c r="D87" t="s">
        <v>71</v>
      </c>
      <c r="E87">
        <v>30</v>
      </c>
      <c r="F87" s="3">
        <v>462.57</v>
      </c>
      <c r="G87" s="3">
        <v>13877.1</v>
      </c>
    </row>
    <row r="88" spans="1:7" x14ac:dyDescent="0.35">
      <c r="A88" t="s">
        <v>113</v>
      </c>
      <c r="B88" s="1">
        <v>45071</v>
      </c>
      <c r="C88" s="2" t="s">
        <v>17</v>
      </c>
      <c r="D88" t="s">
        <v>9</v>
      </c>
      <c r="E88">
        <v>70</v>
      </c>
      <c r="F88" s="3">
        <v>53.93</v>
      </c>
      <c r="G88" s="3">
        <v>3775.1</v>
      </c>
    </row>
    <row r="89" spans="1:7" x14ac:dyDescent="0.35">
      <c r="A89" t="s">
        <v>114</v>
      </c>
      <c r="B89" s="1">
        <v>45380</v>
      </c>
      <c r="C89" s="2" t="s">
        <v>17</v>
      </c>
      <c r="D89" t="s">
        <v>59</v>
      </c>
      <c r="E89">
        <v>92</v>
      </c>
      <c r="F89" s="3">
        <v>449.03</v>
      </c>
      <c r="G89" s="3">
        <v>41310.76</v>
      </c>
    </row>
    <row r="90" spans="1:7" x14ac:dyDescent="0.35">
      <c r="A90" t="s">
        <v>115</v>
      </c>
      <c r="B90" s="1">
        <v>45220</v>
      </c>
      <c r="C90" s="2" t="s">
        <v>17</v>
      </c>
      <c r="D90" t="s">
        <v>50</v>
      </c>
      <c r="E90">
        <v>19</v>
      </c>
      <c r="F90" s="3">
        <v>351.1</v>
      </c>
      <c r="G90" s="3">
        <v>6670.9</v>
      </c>
    </row>
    <row r="91" spans="1:7" x14ac:dyDescent="0.35">
      <c r="A91" t="s">
        <v>116</v>
      </c>
      <c r="B91" s="1">
        <v>45518</v>
      </c>
      <c r="C91" s="2" t="s">
        <v>8</v>
      </c>
      <c r="D91" t="s">
        <v>12</v>
      </c>
      <c r="E91">
        <v>57</v>
      </c>
      <c r="F91" s="3">
        <v>448.9</v>
      </c>
      <c r="G91" s="3">
        <v>25587.3</v>
      </c>
    </row>
    <row r="92" spans="1:7" x14ac:dyDescent="0.35">
      <c r="A92" t="s">
        <v>117</v>
      </c>
      <c r="B92" s="1">
        <v>45453</v>
      </c>
      <c r="C92" s="2" t="s">
        <v>22</v>
      </c>
      <c r="D92" t="s">
        <v>50</v>
      </c>
      <c r="E92">
        <v>25</v>
      </c>
      <c r="F92" s="3">
        <v>340.9</v>
      </c>
      <c r="G92" s="3">
        <v>8522.5</v>
      </c>
    </row>
    <row r="93" spans="1:7" x14ac:dyDescent="0.35">
      <c r="A93" t="s">
        <v>118</v>
      </c>
      <c r="B93" s="1">
        <v>45507</v>
      </c>
      <c r="C93" s="2" t="s">
        <v>14</v>
      </c>
      <c r="D93" t="s">
        <v>33</v>
      </c>
      <c r="E93">
        <v>42</v>
      </c>
      <c r="F93" s="3">
        <v>356.03</v>
      </c>
      <c r="G93" s="3">
        <v>14953.26</v>
      </c>
    </row>
    <row r="94" spans="1:7" x14ac:dyDescent="0.35">
      <c r="A94" t="s">
        <v>119</v>
      </c>
      <c r="B94" s="1">
        <v>45075</v>
      </c>
      <c r="C94" s="2" t="s">
        <v>22</v>
      </c>
      <c r="D94" t="s">
        <v>25</v>
      </c>
      <c r="E94">
        <v>94</v>
      </c>
      <c r="F94" s="3">
        <v>200.92</v>
      </c>
      <c r="G94" s="3">
        <v>18886.48</v>
      </c>
    </row>
    <row r="95" spans="1:7" x14ac:dyDescent="0.35">
      <c r="A95" t="s">
        <v>120</v>
      </c>
      <c r="B95" s="1">
        <v>45162</v>
      </c>
      <c r="C95" s="2" t="s">
        <v>22</v>
      </c>
      <c r="D95" t="s">
        <v>36</v>
      </c>
      <c r="E95">
        <v>26</v>
      </c>
      <c r="F95" s="3">
        <v>439.37</v>
      </c>
      <c r="G95" s="3">
        <v>11423.62</v>
      </c>
    </row>
    <row r="96" spans="1:7" x14ac:dyDescent="0.35">
      <c r="A96" t="s">
        <v>121</v>
      </c>
      <c r="B96" s="1">
        <v>45517</v>
      </c>
      <c r="C96" s="2" t="s">
        <v>8</v>
      </c>
      <c r="D96" t="s">
        <v>44</v>
      </c>
      <c r="E96">
        <v>62</v>
      </c>
      <c r="F96" s="3">
        <v>466.47</v>
      </c>
      <c r="G96" s="3">
        <v>28921.14</v>
      </c>
    </row>
    <row r="97" spans="1:7" x14ac:dyDescent="0.35">
      <c r="A97" t="s">
        <v>122</v>
      </c>
      <c r="B97" s="1">
        <v>44977</v>
      </c>
      <c r="C97" s="2" t="s">
        <v>17</v>
      </c>
      <c r="D97" t="s">
        <v>44</v>
      </c>
      <c r="E97">
        <v>42</v>
      </c>
      <c r="F97" s="3">
        <v>230.95</v>
      </c>
      <c r="G97" s="3">
        <v>9699.9</v>
      </c>
    </row>
    <row r="98" spans="1:7" x14ac:dyDescent="0.35">
      <c r="A98" t="s">
        <v>123</v>
      </c>
      <c r="B98" s="1">
        <v>45313</v>
      </c>
      <c r="C98" s="2" t="s">
        <v>14</v>
      </c>
      <c r="D98" t="s">
        <v>71</v>
      </c>
      <c r="E98">
        <v>60</v>
      </c>
      <c r="F98" s="3">
        <v>488.09</v>
      </c>
      <c r="G98" s="3">
        <v>29285.4</v>
      </c>
    </row>
    <row r="99" spans="1:7" x14ac:dyDescent="0.35">
      <c r="A99" t="s">
        <v>124</v>
      </c>
      <c r="B99" s="1">
        <v>45259</v>
      </c>
      <c r="C99" s="2" t="s">
        <v>17</v>
      </c>
      <c r="D99" t="s">
        <v>50</v>
      </c>
      <c r="E99">
        <v>26</v>
      </c>
      <c r="F99" s="3">
        <v>135.69999999999999</v>
      </c>
      <c r="G99" s="3">
        <v>3528.2</v>
      </c>
    </row>
    <row r="100" spans="1:7" x14ac:dyDescent="0.35">
      <c r="A100" t="s">
        <v>125</v>
      </c>
      <c r="B100" s="1">
        <v>45150</v>
      </c>
      <c r="C100" s="2" t="s">
        <v>11</v>
      </c>
      <c r="D100" t="s">
        <v>33</v>
      </c>
      <c r="E100">
        <v>91</v>
      </c>
      <c r="F100" s="3">
        <v>304.31</v>
      </c>
      <c r="G100" s="3">
        <v>27692.21</v>
      </c>
    </row>
    <row r="101" spans="1:7" x14ac:dyDescent="0.35">
      <c r="A101" t="s">
        <v>126</v>
      </c>
      <c r="B101" s="1">
        <v>45099</v>
      </c>
      <c r="C101" s="2" t="s">
        <v>11</v>
      </c>
      <c r="D101" t="s">
        <v>59</v>
      </c>
      <c r="E101">
        <v>50</v>
      </c>
      <c r="F101" s="3">
        <v>339.98</v>
      </c>
      <c r="G101" s="3">
        <v>16999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
  <sheetViews>
    <sheetView workbookViewId="0">
      <selection activeCell="G10" sqref="G10"/>
    </sheetView>
  </sheetViews>
  <sheetFormatPr defaultRowHeight="14.5" x14ac:dyDescent="0.35"/>
  <cols>
    <col min="1" max="1" width="12.58203125" customWidth="1"/>
    <col min="2" max="2" width="15.58203125" customWidth="1"/>
    <col min="3" max="3" width="14.9140625" customWidth="1"/>
    <col min="4" max="4" width="16.4140625" customWidth="1"/>
    <col min="5" max="5" width="12.25" customWidth="1"/>
  </cols>
  <sheetData>
    <row r="1" spans="1:5" x14ac:dyDescent="0.35">
      <c r="A1" s="4" t="s">
        <v>2</v>
      </c>
      <c r="B1" s="4" t="s">
        <v>127</v>
      </c>
      <c r="C1" s="4" t="s">
        <v>128</v>
      </c>
      <c r="D1" s="4" t="s">
        <v>129</v>
      </c>
      <c r="E1" s="4" t="s">
        <v>130</v>
      </c>
    </row>
    <row r="2" spans="1:5" x14ac:dyDescent="0.35">
      <c r="A2" t="s">
        <v>17</v>
      </c>
      <c r="B2" t="s">
        <v>131</v>
      </c>
      <c r="C2" t="s">
        <v>132</v>
      </c>
      <c r="D2" t="s">
        <v>133</v>
      </c>
      <c r="E2" t="s">
        <v>134</v>
      </c>
    </row>
    <row r="3" spans="1:5" x14ac:dyDescent="0.35">
      <c r="A3" t="s">
        <v>11</v>
      </c>
      <c r="B3" t="s">
        <v>135</v>
      </c>
      <c r="C3" t="s">
        <v>136</v>
      </c>
      <c r="D3" t="s">
        <v>137</v>
      </c>
      <c r="E3" t="s">
        <v>134</v>
      </c>
    </row>
    <row r="4" spans="1:5" x14ac:dyDescent="0.35">
      <c r="A4" t="s">
        <v>14</v>
      </c>
      <c r="B4" t="s">
        <v>138</v>
      </c>
      <c r="C4" t="s">
        <v>139</v>
      </c>
      <c r="D4" t="s">
        <v>140</v>
      </c>
      <c r="E4" t="s">
        <v>141</v>
      </c>
    </row>
    <row r="5" spans="1:5" x14ac:dyDescent="0.35">
      <c r="A5" t="s">
        <v>8</v>
      </c>
      <c r="B5" t="s">
        <v>142</v>
      </c>
      <c r="C5" t="s">
        <v>143</v>
      </c>
      <c r="D5" t="s">
        <v>144</v>
      </c>
      <c r="E5" t="s">
        <v>145</v>
      </c>
    </row>
    <row r="6" spans="1:5" x14ac:dyDescent="0.35">
      <c r="A6" t="s">
        <v>22</v>
      </c>
      <c r="B6" t="s">
        <v>146</v>
      </c>
      <c r="C6" t="s">
        <v>147</v>
      </c>
      <c r="D6" t="s">
        <v>148</v>
      </c>
      <c r="E6" t="s">
        <v>134</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C0264-3800-4357-AC7C-5265A110A127}">
  <dimension ref="A3:B109"/>
  <sheetViews>
    <sheetView workbookViewId="0">
      <selection activeCell="M6" sqref="M6"/>
    </sheetView>
  </sheetViews>
  <sheetFormatPr defaultRowHeight="14.5" x14ac:dyDescent="0.35"/>
  <cols>
    <col min="1" max="1" width="19.9140625" bestFit="1" customWidth="1"/>
    <col min="2" max="2" width="22.58203125" bestFit="1" customWidth="1"/>
  </cols>
  <sheetData>
    <row r="3" spans="1:2" x14ac:dyDescent="0.35">
      <c r="A3" s="12" t="s">
        <v>152</v>
      </c>
      <c r="B3" t="s">
        <v>149</v>
      </c>
    </row>
    <row r="4" spans="1:2" x14ac:dyDescent="0.35">
      <c r="A4" s="13" t="s">
        <v>17</v>
      </c>
      <c r="B4" s="3">
        <v>238746.19</v>
      </c>
    </row>
    <row r="5" spans="1:2" x14ac:dyDescent="0.35">
      <c r="A5" s="14" t="s">
        <v>16</v>
      </c>
      <c r="B5" s="3">
        <v>14916.27</v>
      </c>
    </row>
    <row r="6" spans="1:2" x14ac:dyDescent="0.35">
      <c r="A6" s="14" t="s">
        <v>23</v>
      </c>
      <c r="B6" s="3">
        <v>20008.95</v>
      </c>
    </row>
    <row r="7" spans="1:2" x14ac:dyDescent="0.35">
      <c r="A7" s="14" t="s">
        <v>48</v>
      </c>
      <c r="B7" s="3">
        <v>21957.64</v>
      </c>
    </row>
    <row r="8" spans="1:2" x14ac:dyDescent="0.35">
      <c r="A8" s="14" t="s">
        <v>55</v>
      </c>
      <c r="B8" s="3">
        <v>18820.400000000001</v>
      </c>
    </row>
    <row r="9" spans="1:2" x14ac:dyDescent="0.35">
      <c r="A9" s="14" t="s">
        <v>57</v>
      </c>
      <c r="B9" s="3">
        <v>3298.68</v>
      </c>
    </row>
    <row r="10" spans="1:2" x14ac:dyDescent="0.35">
      <c r="A10" s="14" t="s">
        <v>58</v>
      </c>
      <c r="B10" s="3">
        <v>20778.400000000001</v>
      </c>
    </row>
    <row r="11" spans="1:2" x14ac:dyDescent="0.35">
      <c r="A11" s="14" t="s">
        <v>84</v>
      </c>
      <c r="B11" s="3">
        <v>32780.699999999997</v>
      </c>
    </row>
    <row r="12" spans="1:2" x14ac:dyDescent="0.35">
      <c r="A12" s="14" t="s">
        <v>87</v>
      </c>
      <c r="B12" s="3">
        <v>31182.97</v>
      </c>
    </row>
    <row r="13" spans="1:2" x14ac:dyDescent="0.35">
      <c r="A13" s="14" t="s">
        <v>106</v>
      </c>
      <c r="B13" s="3">
        <v>8718.82</v>
      </c>
    </row>
    <row r="14" spans="1:2" x14ac:dyDescent="0.35">
      <c r="A14" s="14" t="s">
        <v>109</v>
      </c>
      <c r="B14" s="3">
        <v>1298.5</v>
      </c>
    </row>
    <row r="15" spans="1:2" x14ac:dyDescent="0.35">
      <c r="A15" s="14" t="s">
        <v>113</v>
      </c>
      <c r="B15" s="3">
        <v>3775.1</v>
      </c>
    </row>
    <row r="16" spans="1:2" x14ac:dyDescent="0.35">
      <c r="A16" s="14" t="s">
        <v>114</v>
      </c>
      <c r="B16" s="3">
        <v>41310.76</v>
      </c>
    </row>
    <row r="17" spans="1:2" x14ac:dyDescent="0.35">
      <c r="A17" s="14" t="s">
        <v>115</v>
      </c>
      <c r="B17" s="3">
        <v>6670.9</v>
      </c>
    </row>
    <row r="18" spans="1:2" x14ac:dyDescent="0.35">
      <c r="A18" s="14" t="s">
        <v>122</v>
      </c>
      <c r="B18" s="3">
        <v>9699.9</v>
      </c>
    </row>
    <row r="19" spans="1:2" x14ac:dyDescent="0.35">
      <c r="A19" s="14" t="s">
        <v>124</v>
      </c>
      <c r="B19" s="3">
        <v>3528.2</v>
      </c>
    </row>
    <row r="20" spans="1:2" x14ac:dyDescent="0.35">
      <c r="A20" s="13" t="s">
        <v>11</v>
      </c>
      <c r="B20" s="3">
        <v>495717.28999999992</v>
      </c>
    </row>
    <row r="21" spans="1:2" x14ac:dyDescent="0.35">
      <c r="A21" s="14" t="s">
        <v>10</v>
      </c>
      <c r="B21" s="3">
        <v>33890.300000000003</v>
      </c>
    </row>
    <row r="22" spans="1:2" x14ac:dyDescent="0.35">
      <c r="A22" s="14" t="s">
        <v>24</v>
      </c>
      <c r="B22" s="3">
        <v>23990.45</v>
      </c>
    </row>
    <row r="23" spans="1:2" x14ac:dyDescent="0.35">
      <c r="A23" s="14" t="s">
        <v>29</v>
      </c>
      <c r="B23" s="3">
        <v>22616.67</v>
      </c>
    </row>
    <row r="24" spans="1:2" x14ac:dyDescent="0.35">
      <c r="A24" s="14" t="s">
        <v>30</v>
      </c>
      <c r="B24" s="3">
        <v>9873.9699999999993</v>
      </c>
    </row>
    <row r="25" spans="1:2" x14ac:dyDescent="0.35">
      <c r="A25" s="14" t="s">
        <v>53</v>
      </c>
      <c r="B25" s="3">
        <v>42286.17</v>
      </c>
    </row>
    <row r="26" spans="1:2" x14ac:dyDescent="0.35">
      <c r="A26" s="14" t="s">
        <v>63</v>
      </c>
      <c r="B26" s="3">
        <v>9378.8799999999992</v>
      </c>
    </row>
    <row r="27" spans="1:2" x14ac:dyDescent="0.35">
      <c r="A27" s="14" t="s">
        <v>67</v>
      </c>
      <c r="B27" s="3">
        <v>7041.75</v>
      </c>
    </row>
    <row r="28" spans="1:2" x14ac:dyDescent="0.35">
      <c r="A28" s="14" t="s">
        <v>68</v>
      </c>
      <c r="B28" s="3">
        <v>2115.46</v>
      </c>
    </row>
    <row r="29" spans="1:2" x14ac:dyDescent="0.35">
      <c r="A29" s="14" t="s">
        <v>70</v>
      </c>
      <c r="B29" s="3">
        <v>8776.0400000000009</v>
      </c>
    </row>
    <row r="30" spans="1:2" x14ac:dyDescent="0.35">
      <c r="A30" s="14" t="s">
        <v>77</v>
      </c>
      <c r="B30" s="3">
        <v>2837.28</v>
      </c>
    </row>
    <row r="31" spans="1:2" x14ac:dyDescent="0.35">
      <c r="A31" s="14" t="s">
        <v>81</v>
      </c>
      <c r="B31" s="3">
        <v>13647.06</v>
      </c>
    </row>
    <row r="32" spans="1:2" x14ac:dyDescent="0.35">
      <c r="A32" s="14" t="s">
        <v>82</v>
      </c>
      <c r="B32" s="3">
        <v>32856.32</v>
      </c>
    </row>
    <row r="33" spans="1:2" x14ac:dyDescent="0.35">
      <c r="A33" s="14" t="s">
        <v>83</v>
      </c>
      <c r="B33" s="3">
        <v>9576.84</v>
      </c>
    </row>
    <row r="34" spans="1:2" x14ac:dyDescent="0.35">
      <c r="A34" s="14" t="s">
        <v>86</v>
      </c>
      <c r="B34" s="3">
        <v>29494.92</v>
      </c>
    </row>
    <row r="35" spans="1:2" x14ac:dyDescent="0.35">
      <c r="A35" s="14" t="s">
        <v>88</v>
      </c>
      <c r="B35" s="3">
        <v>42858.81</v>
      </c>
    </row>
    <row r="36" spans="1:2" x14ac:dyDescent="0.35">
      <c r="A36" s="14" t="s">
        <v>90</v>
      </c>
      <c r="B36" s="3">
        <v>20294.82</v>
      </c>
    </row>
    <row r="37" spans="1:2" x14ac:dyDescent="0.35">
      <c r="A37" s="14" t="s">
        <v>92</v>
      </c>
      <c r="B37" s="3">
        <v>36297.599999999999</v>
      </c>
    </row>
    <row r="38" spans="1:2" x14ac:dyDescent="0.35">
      <c r="A38" s="14" t="s">
        <v>96</v>
      </c>
      <c r="B38" s="3">
        <v>2163.3000000000002</v>
      </c>
    </row>
    <row r="39" spans="1:2" x14ac:dyDescent="0.35">
      <c r="A39" s="14" t="s">
        <v>99</v>
      </c>
      <c r="B39" s="3">
        <v>16330.61</v>
      </c>
    </row>
    <row r="40" spans="1:2" x14ac:dyDescent="0.35">
      <c r="A40" s="14" t="s">
        <v>101</v>
      </c>
      <c r="B40" s="3">
        <v>31677.42</v>
      </c>
    </row>
    <row r="41" spans="1:2" x14ac:dyDescent="0.35">
      <c r="A41" s="14" t="s">
        <v>103</v>
      </c>
      <c r="B41" s="3">
        <v>33880.6</v>
      </c>
    </row>
    <row r="42" spans="1:2" x14ac:dyDescent="0.35">
      <c r="A42" s="14" t="s">
        <v>107</v>
      </c>
      <c r="B42" s="3">
        <v>19140.810000000001</v>
      </c>
    </row>
    <row r="43" spans="1:2" x14ac:dyDescent="0.35">
      <c r="A43" s="14" t="s">
        <v>125</v>
      </c>
      <c r="B43" s="3">
        <v>27692.21</v>
      </c>
    </row>
    <row r="44" spans="1:2" x14ac:dyDescent="0.35">
      <c r="A44" s="14" t="s">
        <v>126</v>
      </c>
      <c r="B44" s="3">
        <v>16999</v>
      </c>
    </row>
    <row r="45" spans="1:2" x14ac:dyDescent="0.35">
      <c r="A45" s="13" t="s">
        <v>8</v>
      </c>
      <c r="B45" s="3">
        <v>354539.39</v>
      </c>
    </row>
    <row r="46" spans="1:2" x14ac:dyDescent="0.35">
      <c r="A46" s="14" t="s">
        <v>7</v>
      </c>
      <c r="B46" s="3">
        <v>11102.28</v>
      </c>
    </row>
    <row r="47" spans="1:2" x14ac:dyDescent="0.35">
      <c r="A47" s="14" t="s">
        <v>28</v>
      </c>
      <c r="B47" s="3">
        <v>7814.94</v>
      </c>
    </row>
    <row r="48" spans="1:2" x14ac:dyDescent="0.35">
      <c r="A48" s="14" t="s">
        <v>31</v>
      </c>
      <c r="B48" s="3">
        <v>21448.83</v>
      </c>
    </row>
    <row r="49" spans="1:2" x14ac:dyDescent="0.35">
      <c r="A49" s="14" t="s">
        <v>35</v>
      </c>
      <c r="B49" s="3">
        <v>11347.91</v>
      </c>
    </row>
    <row r="50" spans="1:2" x14ac:dyDescent="0.35">
      <c r="A50" s="14" t="s">
        <v>41</v>
      </c>
      <c r="B50" s="3">
        <v>1404.06</v>
      </c>
    </row>
    <row r="51" spans="1:2" x14ac:dyDescent="0.35">
      <c r="A51" s="14" t="s">
        <v>42</v>
      </c>
      <c r="B51" s="3">
        <v>16963.259999999998</v>
      </c>
    </row>
    <row r="52" spans="1:2" x14ac:dyDescent="0.35">
      <c r="A52" s="14" t="s">
        <v>52</v>
      </c>
      <c r="B52" s="3">
        <v>2264.58</v>
      </c>
    </row>
    <row r="53" spans="1:2" x14ac:dyDescent="0.35">
      <c r="A53" s="14" t="s">
        <v>54</v>
      </c>
      <c r="B53" s="3">
        <v>13484.48</v>
      </c>
    </row>
    <row r="54" spans="1:2" x14ac:dyDescent="0.35">
      <c r="A54" s="14" t="s">
        <v>56</v>
      </c>
      <c r="B54" s="3">
        <v>15123.24</v>
      </c>
    </row>
    <row r="55" spans="1:2" x14ac:dyDescent="0.35">
      <c r="A55" s="14" t="s">
        <v>61</v>
      </c>
      <c r="B55" s="3">
        <v>40495.199999999997</v>
      </c>
    </row>
    <row r="56" spans="1:2" x14ac:dyDescent="0.35">
      <c r="A56" s="14" t="s">
        <v>72</v>
      </c>
      <c r="B56" s="3">
        <v>21752.48</v>
      </c>
    </row>
    <row r="57" spans="1:2" x14ac:dyDescent="0.35">
      <c r="A57" s="14" t="s">
        <v>75</v>
      </c>
      <c r="B57" s="3">
        <v>1678.84</v>
      </c>
    </row>
    <row r="58" spans="1:2" x14ac:dyDescent="0.35">
      <c r="A58" s="14" t="s">
        <v>76</v>
      </c>
      <c r="B58" s="3">
        <v>17559.36</v>
      </c>
    </row>
    <row r="59" spans="1:2" x14ac:dyDescent="0.35">
      <c r="A59" s="14" t="s">
        <v>95</v>
      </c>
      <c r="B59" s="3">
        <v>41217.300000000003</v>
      </c>
    </row>
    <row r="60" spans="1:2" x14ac:dyDescent="0.35">
      <c r="A60" s="14" t="s">
        <v>100</v>
      </c>
      <c r="B60" s="3">
        <v>16216.73</v>
      </c>
    </row>
    <row r="61" spans="1:2" x14ac:dyDescent="0.35">
      <c r="A61" s="14" t="s">
        <v>105</v>
      </c>
      <c r="B61" s="3">
        <v>16618.259999999998</v>
      </c>
    </row>
    <row r="62" spans="1:2" x14ac:dyDescent="0.35">
      <c r="A62" s="14" t="s">
        <v>108</v>
      </c>
      <c r="B62" s="3">
        <v>9776.7000000000007</v>
      </c>
    </row>
    <row r="63" spans="1:2" x14ac:dyDescent="0.35">
      <c r="A63" s="14" t="s">
        <v>110</v>
      </c>
      <c r="B63" s="3">
        <v>19885.400000000001</v>
      </c>
    </row>
    <row r="64" spans="1:2" x14ac:dyDescent="0.35">
      <c r="A64" s="14" t="s">
        <v>112</v>
      </c>
      <c r="B64" s="3">
        <v>13877.1</v>
      </c>
    </row>
    <row r="65" spans="1:2" x14ac:dyDescent="0.35">
      <c r="A65" s="14" t="s">
        <v>116</v>
      </c>
      <c r="B65" s="3">
        <v>25587.3</v>
      </c>
    </row>
    <row r="66" spans="1:2" x14ac:dyDescent="0.35">
      <c r="A66" s="14" t="s">
        <v>121</v>
      </c>
      <c r="B66" s="3">
        <v>28921.14</v>
      </c>
    </row>
    <row r="67" spans="1:2" x14ac:dyDescent="0.35">
      <c r="A67" s="13" t="s">
        <v>22</v>
      </c>
      <c r="B67" s="3">
        <v>258336.10000000006</v>
      </c>
    </row>
    <row r="68" spans="1:2" x14ac:dyDescent="0.35">
      <c r="A68" s="14" t="s">
        <v>21</v>
      </c>
      <c r="B68" s="3">
        <v>19117.73</v>
      </c>
    </row>
    <row r="69" spans="1:2" x14ac:dyDescent="0.35">
      <c r="A69" s="14" t="s">
        <v>32</v>
      </c>
      <c r="B69" s="3">
        <v>3609.64</v>
      </c>
    </row>
    <row r="70" spans="1:2" x14ac:dyDescent="0.35">
      <c r="A70" s="14" t="s">
        <v>38</v>
      </c>
      <c r="B70" s="3">
        <v>13235.95</v>
      </c>
    </row>
    <row r="71" spans="1:2" x14ac:dyDescent="0.35">
      <c r="A71" s="14" t="s">
        <v>43</v>
      </c>
      <c r="B71" s="3">
        <v>25633.200000000001</v>
      </c>
    </row>
    <row r="72" spans="1:2" x14ac:dyDescent="0.35">
      <c r="A72" s="14" t="s">
        <v>46</v>
      </c>
      <c r="B72" s="3">
        <v>5518.44</v>
      </c>
    </row>
    <row r="73" spans="1:2" x14ac:dyDescent="0.35">
      <c r="A73" s="14" t="s">
        <v>64</v>
      </c>
      <c r="B73" s="3">
        <v>3891.31</v>
      </c>
    </row>
    <row r="74" spans="1:2" x14ac:dyDescent="0.35">
      <c r="A74" s="14" t="s">
        <v>66</v>
      </c>
      <c r="B74" s="3">
        <v>21973.7</v>
      </c>
    </row>
    <row r="75" spans="1:2" x14ac:dyDescent="0.35">
      <c r="A75" s="14" t="s">
        <v>85</v>
      </c>
      <c r="B75" s="3">
        <v>34492.32</v>
      </c>
    </row>
    <row r="76" spans="1:2" x14ac:dyDescent="0.35">
      <c r="A76" s="14" t="s">
        <v>89</v>
      </c>
      <c r="B76" s="3">
        <v>6818.98</v>
      </c>
    </row>
    <row r="77" spans="1:2" x14ac:dyDescent="0.35">
      <c r="A77" s="14" t="s">
        <v>91</v>
      </c>
      <c r="B77" s="3">
        <v>20199.75</v>
      </c>
    </row>
    <row r="78" spans="1:2" x14ac:dyDescent="0.35">
      <c r="A78" s="14" t="s">
        <v>93</v>
      </c>
      <c r="B78" s="3">
        <v>4762.5</v>
      </c>
    </row>
    <row r="79" spans="1:2" x14ac:dyDescent="0.35">
      <c r="A79" s="14" t="s">
        <v>94</v>
      </c>
      <c r="B79" s="3">
        <v>21278.7</v>
      </c>
    </row>
    <row r="80" spans="1:2" x14ac:dyDescent="0.35">
      <c r="A80" s="14" t="s">
        <v>97</v>
      </c>
      <c r="B80" s="3">
        <v>9086.48</v>
      </c>
    </row>
    <row r="81" spans="1:2" x14ac:dyDescent="0.35">
      <c r="A81" s="14" t="s">
        <v>102</v>
      </c>
      <c r="B81" s="3">
        <v>4509.45</v>
      </c>
    </row>
    <row r="82" spans="1:2" x14ac:dyDescent="0.35">
      <c r="A82" s="14" t="s">
        <v>104</v>
      </c>
      <c r="B82" s="3">
        <v>25375.35</v>
      </c>
    </row>
    <row r="83" spans="1:2" x14ac:dyDescent="0.35">
      <c r="A83" s="14" t="s">
        <v>117</v>
      </c>
      <c r="B83" s="3">
        <v>8522.5</v>
      </c>
    </row>
    <row r="84" spans="1:2" x14ac:dyDescent="0.35">
      <c r="A84" s="14" t="s">
        <v>119</v>
      </c>
      <c r="B84" s="3">
        <v>18886.48</v>
      </c>
    </row>
    <row r="85" spans="1:2" x14ac:dyDescent="0.35">
      <c r="A85" s="14" t="s">
        <v>120</v>
      </c>
      <c r="B85" s="3">
        <v>11423.62</v>
      </c>
    </row>
    <row r="86" spans="1:2" x14ac:dyDescent="0.35">
      <c r="A86" s="13" t="s">
        <v>14</v>
      </c>
      <c r="B86" s="3">
        <v>383633.8000000001</v>
      </c>
    </row>
    <row r="87" spans="1:2" x14ac:dyDescent="0.35">
      <c r="A87" s="14" t="s">
        <v>13</v>
      </c>
      <c r="B87" s="3">
        <v>2734.82</v>
      </c>
    </row>
    <row r="88" spans="1:2" x14ac:dyDescent="0.35">
      <c r="A88" s="14" t="s">
        <v>19</v>
      </c>
      <c r="B88" s="3">
        <v>7185</v>
      </c>
    </row>
    <row r="89" spans="1:2" x14ac:dyDescent="0.35">
      <c r="A89" s="14" t="s">
        <v>26</v>
      </c>
      <c r="B89" s="3">
        <v>14321.71</v>
      </c>
    </row>
    <row r="90" spans="1:2" x14ac:dyDescent="0.35">
      <c r="A90" s="14" t="s">
        <v>34</v>
      </c>
      <c r="B90" s="3">
        <v>27044.32</v>
      </c>
    </row>
    <row r="91" spans="1:2" x14ac:dyDescent="0.35">
      <c r="A91" s="14" t="s">
        <v>37</v>
      </c>
      <c r="B91" s="3">
        <v>8299.74</v>
      </c>
    </row>
    <row r="92" spans="1:2" x14ac:dyDescent="0.35">
      <c r="A92" s="14" t="s">
        <v>39</v>
      </c>
      <c r="B92" s="3">
        <v>7513.32</v>
      </c>
    </row>
    <row r="93" spans="1:2" x14ac:dyDescent="0.35">
      <c r="A93" s="14" t="s">
        <v>45</v>
      </c>
      <c r="B93" s="3">
        <v>5433.2</v>
      </c>
    </row>
    <row r="94" spans="1:2" x14ac:dyDescent="0.35">
      <c r="A94" s="14" t="s">
        <v>49</v>
      </c>
      <c r="B94" s="3">
        <v>14867.97</v>
      </c>
    </row>
    <row r="95" spans="1:2" x14ac:dyDescent="0.35">
      <c r="A95" s="14" t="s">
        <v>51</v>
      </c>
      <c r="B95" s="3">
        <v>2515.81</v>
      </c>
    </row>
    <row r="96" spans="1:2" x14ac:dyDescent="0.35">
      <c r="A96" s="14" t="s">
        <v>60</v>
      </c>
      <c r="B96" s="3">
        <v>43105.5</v>
      </c>
    </row>
    <row r="97" spans="1:2" x14ac:dyDescent="0.35">
      <c r="A97" s="14" t="s">
        <v>62</v>
      </c>
      <c r="B97" s="3">
        <v>9823.2800000000007</v>
      </c>
    </row>
    <row r="98" spans="1:2" x14ac:dyDescent="0.35">
      <c r="A98" s="14" t="s">
        <v>65</v>
      </c>
      <c r="B98" s="3">
        <v>2421.54</v>
      </c>
    </row>
    <row r="99" spans="1:2" x14ac:dyDescent="0.35">
      <c r="A99" s="14" t="s">
        <v>69</v>
      </c>
      <c r="B99" s="3">
        <v>31663.68</v>
      </c>
    </row>
    <row r="100" spans="1:2" x14ac:dyDescent="0.35">
      <c r="A100" s="14" t="s">
        <v>73</v>
      </c>
      <c r="B100" s="3">
        <v>26313.42</v>
      </c>
    </row>
    <row r="101" spans="1:2" x14ac:dyDescent="0.35">
      <c r="A101" s="14" t="s">
        <v>74</v>
      </c>
      <c r="B101" s="3">
        <v>15902.64</v>
      </c>
    </row>
    <row r="102" spans="1:2" x14ac:dyDescent="0.35">
      <c r="A102" s="14" t="s">
        <v>78</v>
      </c>
      <c r="B102" s="3">
        <v>33525.230000000003</v>
      </c>
    </row>
    <row r="103" spans="1:2" x14ac:dyDescent="0.35">
      <c r="A103" s="14" t="s">
        <v>79</v>
      </c>
      <c r="B103" s="3">
        <v>39293</v>
      </c>
    </row>
    <row r="104" spans="1:2" x14ac:dyDescent="0.35">
      <c r="A104" s="14" t="s">
        <v>80</v>
      </c>
      <c r="B104" s="3">
        <v>8169.12</v>
      </c>
    </row>
    <row r="105" spans="1:2" x14ac:dyDescent="0.35">
      <c r="A105" s="14" t="s">
        <v>98</v>
      </c>
      <c r="B105" s="3">
        <v>11556.94</v>
      </c>
    </row>
    <row r="106" spans="1:2" x14ac:dyDescent="0.35">
      <c r="A106" s="14" t="s">
        <v>111</v>
      </c>
      <c r="B106" s="3">
        <v>27704.9</v>
      </c>
    </row>
    <row r="107" spans="1:2" x14ac:dyDescent="0.35">
      <c r="A107" s="14" t="s">
        <v>118</v>
      </c>
      <c r="B107" s="3">
        <v>14953.26</v>
      </c>
    </row>
    <row r="108" spans="1:2" x14ac:dyDescent="0.35">
      <c r="A108" s="14" t="s">
        <v>123</v>
      </c>
      <c r="B108" s="3">
        <v>29285.4</v>
      </c>
    </row>
    <row r="109" spans="1:2" x14ac:dyDescent="0.35">
      <c r="A109" s="13" t="s">
        <v>153</v>
      </c>
      <c r="B109" s="3">
        <v>1730972.7699999993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5EE7-8ACB-4811-87AE-886D4C45464C}">
  <dimension ref="B3:J36"/>
  <sheetViews>
    <sheetView topLeftCell="C18" workbookViewId="0">
      <selection activeCell="G20" sqref="G20:H36"/>
    </sheetView>
  </sheetViews>
  <sheetFormatPr defaultRowHeight="14.5" x14ac:dyDescent="0.35"/>
  <cols>
    <col min="2" max="2" width="19.58203125" bestFit="1" customWidth="1"/>
    <col min="4" max="4" width="12.58203125" bestFit="1" customWidth="1"/>
    <col min="5" max="5" width="22.58203125" bestFit="1" customWidth="1"/>
    <col min="7" max="7" width="17.4140625" bestFit="1" customWidth="1"/>
    <col min="8" max="8" width="22.58203125" bestFit="1" customWidth="1"/>
    <col min="9" max="9" width="25.75" bestFit="1" customWidth="1"/>
    <col min="10" max="10" width="24.58203125" bestFit="1" customWidth="1"/>
  </cols>
  <sheetData>
    <row r="3" spans="2:10" x14ac:dyDescent="0.35">
      <c r="B3" s="9" t="s">
        <v>149</v>
      </c>
      <c r="D3" s="9" t="s">
        <v>150</v>
      </c>
    </row>
    <row r="4" spans="2:10" x14ac:dyDescent="0.35">
      <c r="B4" s="10">
        <v>1730972.77</v>
      </c>
      <c r="D4" s="10">
        <v>5470</v>
      </c>
      <c r="G4" s="12" t="s">
        <v>152</v>
      </c>
      <c r="H4" t="s">
        <v>149</v>
      </c>
    </row>
    <row r="5" spans="2:10" x14ac:dyDescent="0.35">
      <c r="G5" s="13" t="s">
        <v>11</v>
      </c>
      <c r="H5" s="3">
        <v>495717.28999999992</v>
      </c>
    </row>
    <row r="6" spans="2:10" x14ac:dyDescent="0.35">
      <c r="B6" s="9" t="s">
        <v>151</v>
      </c>
      <c r="D6" s="9" t="s">
        <v>154</v>
      </c>
      <c r="G6" s="13" t="s">
        <v>14</v>
      </c>
      <c r="H6" s="3">
        <v>383633.8000000001</v>
      </c>
    </row>
    <row r="7" spans="2:10" x14ac:dyDescent="0.35">
      <c r="B7" s="11">
        <v>17309.727699999999</v>
      </c>
      <c r="D7" s="10">
        <v>100</v>
      </c>
      <c r="G7" s="13" t="s">
        <v>8</v>
      </c>
      <c r="H7" s="3">
        <v>354539.39</v>
      </c>
    </row>
    <row r="8" spans="2:10" x14ac:dyDescent="0.35">
      <c r="G8" s="13" t="s">
        <v>22</v>
      </c>
      <c r="H8" s="3">
        <v>258336.10000000006</v>
      </c>
    </row>
    <row r="9" spans="2:10" x14ac:dyDescent="0.35">
      <c r="B9" s="9" t="s">
        <v>156</v>
      </c>
      <c r="G9" s="13" t="s">
        <v>17</v>
      </c>
      <c r="H9" s="3">
        <v>238746.19</v>
      </c>
    </row>
    <row r="10" spans="2:10" x14ac:dyDescent="0.35">
      <c r="B10" s="10">
        <v>310.0843000000001</v>
      </c>
      <c r="G10" s="13" t="s">
        <v>153</v>
      </c>
      <c r="H10" s="3">
        <v>1730972.7700000003</v>
      </c>
    </row>
    <row r="11" spans="2:10" x14ac:dyDescent="0.35">
      <c r="D11" s="12" t="s">
        <v>152</v>
      </c>
      <c r="E11" t="s">
        <v>149</v>
      </c>
    </row>
    <row r="12" spans="2:10" x14ac:dyDescent="0.35">
      <c r="D12" s="13" t="s">
        <v>157</v>
      </c>
      <c r="E12" s="3">
        <v>1126370.1199999999</v>
      </c>
      <c r="G12" s="12" t="s">
        <v>152</v>
      </c>
      <c r="H12" t="s">
        <v>155</v>
      </c>
      <c r="I12" t="s">
        <v>171</v>
      </c>
      <c r="J12" t="s">
        <v>150</v>
      </c>
    </row>
    <row r="13" spans="2:10" x14ac:dyDescent="0.35">
      <c r="D13" s="14" t="s">
        <v>159</v>
      </c>
      <c r="E13" s="3">
        <v>16602.099999999999</v>
      </c>
      <c r="G13" s="13" t="s">
        <v>17</v>
      </c>
      <c r="H13" s="3">
        <v>4293</v>
      </c>
      <c r="I13" s="8">
        <v>812</v>
      </c>
      <c r="J13" s="8">
        <v>812</v>
      </c>
    </row>
    <row r="14" spans="2:10" x14ac:dyDescent="0.35">
      <c r="D14" s="14" t="s">
        <v>160</v>
      </c>
      <c r="E14" s="3">
        <v>32546.129999999997</v>
      </c>
      <c r="G14" s="13" t="s">
        <v>11</v>
      </c>
      <c r="H14" s="3">
        <v>7491.1</v>
      </c>
      <c r="I14" s="8">
        <v>1536</v>
      </c>
      <c r="J14" s="8">
        <v>1536</v>
      </c>
    </row>
    <row r="15" spans="2:10" x14ac:dyDescent="0.35">
      <c r="D15" s="14" t="s">
        <v>161</v>
      </c>
      <c r="E15" s="3">
        <v>29423.65</v>
      </c>
      <c r="G15" s="13" t="s">
        <v>8</v>
      </c>
      <c r="H15" s="3">
        <v>6866.7099999999991</v>
      </c>
      <c r="I15" s="8">
        <v>1039</v>
      </c>
      <c r="J15" s="8">
        <v>1039</v>
      </c>
    </row>
    <row r="16" spans="2:10" x14ac:dyDescent="0.35">
      <c r="D16" s="14" t="s">
        <v>162</v>
      </c>
      <c r="E16" s="3">
        <v>36104.699999999997</v>
      </c>
      <c r="G16" s="13" t="s">
        <v>22</v>
      </c>
      <c r="H16" s="3">
        <v>5341.19</v>
      </c>
      <c r="I16" s="8">
        <v>935</v>
      </c>
      <c r="J16" s="8">
        <v>935</v>
      </c>
    </row>
    <row r="17" spans="4:10" x14ac:dyDescent="0.35">
      <c r="D17" s="14" t="s">
        <v>163</v>
      </c>
      <c r="E17" s="3">
        <v>86345.23</v>
      </c>
      <c r="G17" s="13" t="s">
        <v>14</v>
      </c>
      <c r="H17" s="3">
        <v>7016.43</v>
      </c>
      <c r="I17" s="8">
        <v>1148</v>
      </c>
      <c r="J17" s="8">
        <v>1148</v>
      </c>
    </row>
    <row r="18" spans="4:10" x14ac:dyDescent="0.35">
      <c r="D18" s="14" t="s">
        <v>164</v>
      </c>
      <c r="E18" s="3">
        <v>182764.50999999998</v>
      </c>
      <c r="G18" s="13" t="s">
        <v>153</v>
      </c>
      <c r="H18" s="3">
        <v>31008.429999999997</v>
      </c>
      <c r="I18" s="8">
        <v>5470</v>
      </c>
      <c r="J18" s="8">
        <v>5470</v>
      </c>
    </row>
    <row r="19" spans="4:10" x14ac:dyDescent="0.35">
      <c r="D19" s="14" t="s">
        <v>165</v>
      </c>
      <c r="E19" s="3">
        <v>59828.98</v>
      </c>
    </row>
    <row r="20" spans="4:10" x14ac:dyDescent="0.35">
      <c r="D20" s="14" t="s">
        <v>166</v>
      </c>
      <c r="E20" s="3">
        <v>300822.07</v>
      </c>
      <c r="G20" s="12" t="s">
        <v>152</v>
      </c>
      <c r="H20" t="s">
        <v>149</v>
      </c>
    </row>
    <row r="21" spans="4:10" x14ac:dyDescent="0.35">
      <c r="D21" s="14" t="s">
        <v>167</v>
      </c>
      <c r="E21" s="3">
        <v>116742.39999999999</v>
      </c>
      <c r="G21" s="13" t="s">
        <v>40</v>
      </c>
      <c r="H21" s="3">
        <v>98955.82</v>
      </c>
    </row>
    <row r="22" spans="4:10" x14ac:dyDescent="0.35">
      <c r="D22" s="14" t="s">
        <v>168</v>
      </c>
      <c r="E22" s="3">
        <v>85165.359999999986</v>
      </c>
      <c r="G22" s="13" t="s">
        <v>59</v>
      </c>
      <c r="H22" s="3">
        <v>151385.64000000001</v>
      </c>
    </row>
    <row r="23" spans="4:10" x14ac:dyDescent="0.35">
      <c r="D23" s="14" t="s">
        <v>169</v>
      </c>
      <c r="E23" s="3">
        <v>108856.56000000001</v>
      </c>
      <c r="G23" s="13" t="s">
        <v>47</v>
      </c>
      <c r="H23" s="3">
        <v>151321.4</v>
      </c>
    </row>
    <row r="24" spans="4:10" x14ac:dyDescent="0.35">
      <c r="D24" s="14" t="s">
        <v>170</v>
      </c>
      <c r="E24" s="3">
        <v>71168.429999999993</v>
      </c>
      <c r="G24" s="13" t="s">
        <v>15</v>
      </c>
      <c r="H24" s="3">
        <v>28106.42</v>
      </c>
    </row>
    <row r="25" spans="4:10" x14ac:dyDescent="0.35">
      <c r="D25" s="13" t="s">
        <v>158</v>
      </c>
      <c r="E25" s="3">
        <v>604602.65000000014</v>
      </c>
      <c r="G25" s="13" t="s">
        <v>33</v>
      </c>
      <c r="H25" s="3">
        <v>159222.81</v>
      </c>
    </row>
    <row r="26" spans="4:10" x14ac:dyDescent="0.35">
      <c r="D26" s="14" t="s">
        <v>159</v>
      </c>
      <c r="E26" s="3">
        <v>80516.790000000008</v>
      </c>
      <c r="G26" s="13" t="s">
        <v>9</v>
      </c>
      <c r="H26" s="3">
        <v>77749.390000000014</v>
      </c>
    </row>
    <row r="27" spans="4:10" x14ac:dyDescent="0.35">
      <c r="D27" s="14" t="s">
        <v>160</v>
      </c>
      <c r="E27" s="3">
        <v>67221.899999999994</v>
      </c>
      <c r="G27" s="13" t="s">
        <v>71</v>
      </c>
      <c r="H27" s="3">
        <v>81433.459999999992</v>
      </c>
    </row>
    <row r="28" spans="4:10" x14ac:dyDescent="0.35">
      <c r="D28" s="14" t="s">
        <v>161</v>
      </c>
      <c r="E28" s="3">
        <v>80941.58</v>
      </c>
      <c r="G28" s="13" t="s">
        <v>27</v>
      </c>
      <c r="H28" s="3">
        <v>72549.81</v>
      </c>
    </row>
    <row r="29" spans="4:10" x14ac:dyDescent="0.35">
      <c r="D29" s="14" t="s">
        <v>162</v>
      </c>
      <c r="E29" s="3">
        <v>76427.11</v>
      </c>
      <c r="G29" s="13" t="s">
        <v>12</v>
      </c>
      <c r="H29" s="3">
        <v>106303.54</v>
      </c>
    </row>
    <row r="30" spans="4:10" x14ac:dyDescent="0.35">
      <c r="D30" s="14" t="s">
        <v>163</v>
      </c>
      <c r="E30" s="3">
        <v>49731</v>
      </c>
      <c r="G30" s="13" t="s">
        <v>36</v>
      </c>
      <c r="H30" s="3">
        <v>136376.46</v>
      </c>
    </row>
    <row r="31" spans="4:10" x14ac:dyDescent="0.35">
      <c r="D31" s="14" t="s">
        <v>164</v>
      </c>
      <c r="E31" s="3">
        <v>32594.26</v>
      </c>
      <c r="G31" s="13" t="s">
        <v>50</v>
      </c>
      <c r="H31" s="3">
        <v>76022.73</v>
      </c>
    </row>
    <row r="32" spans="4:10" x14ac:dyDescent="0.35">
      <c r="D32" s="14" t="s">
        <v>165</v>
      </c>
      <c r="E32" s="3">
        <v>24338.84</v>
      </c>
      <c r="G32" s="13" t="s">
        <v>25</v>
      </c>
      <c r="H32" s="3">
        <v>166052.12</v>
      </c>
    </row>
    <row r="33" spans="4:8" x14ac:dyDescent="0.35">
      <c r="D33" s="14" t="s">
        <v>166</v>
      </c>
      <c r="E33" s="3">
        <v>192831.17000000004</v>
      </c>
      <c r="G33" s="13" t="s">
        <v>44</v>
      </c>
      <c r="H33" s="3">
        <v>152522.38999999998</v>
      </c>
    </row>
    <row r="34" spans="4:8" x14ac:dyDescent="0.35">
      <c r="D34" s="13" t="s">
        <v>153</v>
      </c>
      <c r="E34" s="3">
        <v>1730972.77</v>
      </c>
      <c r="G34" s="13" t="s">
        <v>20</v>
      </c>
      <c r="H34" s="3">
        <v>90615.34</v>
      </c>
    </row>
    <row r="35" spans="4:8" x14ac:dyDescent="0.35">
      <c r="G35" s="13" t="s">
        <v>18</v>
      </c>
      <c r="H35" s="3">
        <v>182355.44</v>
      </c>
    </row>
    <row r="36" spans="4:8" x14ac:dyDescent="0.35">
      <c r="G36" s="13" t="s">
        <v>153</v>
      </c>
      <c r="H36" s="3">
        <v>1730972.77</v>
      </c>
    </row>
  </sheetData>
  <conditionalFormatting pivot="1" sqref="H22">
    <cfRule type="top10" dxfId="2" priority="2" rank="15"/>
  </conditionalFormatting>
  <conditionalFormatting sqref="G20:H36">
    <cfRule type="top10" dxfId="0" priority="1" rank="15"/>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039FF-240D-4B17-A467-A0679C3E478C}">
  <dimension ref="A1"/>
  <sheetViews>
    <sheetView tabSelected="1" zoomScale="49" workbookViewId="0">
      <selection activeCell="AC19" sqref="AC19"/>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Purchase Orders</vt:lpstr>
      <vt:lpstr>Suppliers</vt:lpstr>
      <vt:lpstr>Sheet3</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vaibhav kulkarni</cp:lastModifiedBy>
  <dcterms:created xsi:type="dcterms:W3CDTF">2025-09-10T17:12:54Z</dcterms:created>
  <dcterms:modified xsi:type="dcterms:W3CDTF">2025-12-28T08:23:21Z</dcterms:modified>
</cp:coreProperties>
</file>